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9ac361a4f570363b/Desktop/Prachi/CYTK/"/>
    </mc:Choice>
  </mc:AlternateContent>
  <xr:revisionPtr revIDLastSave="1249" documentId="11_6E30537BE2BA04556315D177E21D5571D6997DDE" xr6:coauthVersionLast="47" xr6:coauthVersionMax="47" xr10:uidLastSave="{8E029AC4-2508-47BE-8045-48A1F55A9DC4}"/>
  <bookViews>
    <workbookView xWindow="-108" yWindow="-108" windowWidth="23256" windowHeight="13896" tabRatio="500" firstSheet="2" activeTab="4" xr2:uid="{00000000-000D-0000-FFFF-FFFF00000000}"/>
  </bookViews>
  <sheets>
    <sheet name="Index" sheetId="17" r:id="rId1"/>
    <sheet name="Valuation Summary" sheetId="16" r:id="rId2"/>
    <sheet name="Assumptions and Terms" sheetId="1" r:id="rId3"/>
    <sheet name="Straight Bond" sheetId="10" r:id="rId4"/>
    <sheet name="BSM" sheetId="6" r:id="rId5"/>
    <sheet name="Binomial" sheetId="15" r:id="rId6"/>
    <sheet name="Volatility" sheetId="11" r:id="rId7"/>
    <sheet name="Key Financials" sheetId="14" r:id="rId8"/>
    <sheet name="Credit Rating" sheetId="13" r:id="rId9"/>
    <sheet name="Comps " sheetId="12" r:id="rId10"/>
    <sheet name="References" sheetId="9"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6" l="1"/>
  <c r="C17" i="10"/>
  <c r="G11" i="13"/>
  <c r="G5" i="13"/>
  <c r="C20" i="1"/>
  <c r="B3" i="17" a="1"/>
  <c r="C21" i="14"/>
  <c r="E8" i="14"/>
  <c r="D8" i="14"/>
  <c r="C8" i="14"/>
  <c r="E7" i="14"/>
  <c r="D7" i="14"/>
  <c r="C7" i="14"/>
  <c r="E6" i="14"/>
  <c r="D6" i="14"/>
  <c r="C6" i="14"/>
  <c r="E5" i="14"/>
  <c r="D5" i="14"/>
  <c r="C5" i="14"/>
  <c r="C27" i="1"/>
  <c r="E16" i="14"/>
  <c r="D16" i="14"/>
  <c r="C16" i="14"/>
  <c r="E15" i="14"/>
  <c r="D15" i="14"/>
  <c r="C15" i="14"/>
  <c r="C15" i="15"/>
  <c r="C13" i="15"/>
  <c r="C7" i="15"/>
  <c r="C23" i="1"/>
  <c r="C16" i="1"/>
  <c r="C13" i="6"/>
  <c r="C11" i="6"/>
  <c r="C9" i="6"/>
  <c r="C19" i="13"/>
  <c r="G12" i="13"/>
  <c r="I13" i="13"/>
  <c r="I12" i="13"/>
  <c r="I11" i="13"/>
  <c r="I10" i="13"/>
  <c r="I9" i="13"/>
  <c r="I8" i="13"/>
  <c r="I7" i="13"/>
  <c r="I6" i="13"/>
  <c r="I5" i="13"/>
  <c r="C6" i="10"/>
  <c r="C9" i="10"/>
  <c r="C15" i="10"/>
  <c r="D21" i="10"/>
  <c r="D22" i="10"/>
  <c r="D23" i="10"/>
  <c r="D24" i="10"/>
  <c r="D25" i="10"/>
  <c r="D26" i="10"/>
  <c r="D27" i="10"/>
  <c r="E27" i="10"/>
  <c r="D28" i="10"/>
  <c r="D29" i="10"/>
  <c r="D30" i="10"/>
  <c r="E30" i="10"/>
  <c r="D31" i="10"/>
  <c r="G31" i="10"/>
  <c r="C34" i="10"/>
  <c r="C21" i="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4" i="11"/>
  <c r="C15" i="1"/>
  <c r="E25" i="10" l="1"/>
  <c r="C18" i="10"/>
  <c r="C26" i="1" s="1"/>
  <c r="E21" i="10"/>
  <c r="E22" i="10"/>
  <c r="E24" i="10"/>
  <c r="E28" i="10"/>
  <c r="C8" i="6"/>
  <c r="C13" i="10"/>
  <c r="E29" i="10"/>
  <c r="E23" i="10"/>
  <c r="E31" i="10"/>
  <c r="E26" i="10"/>
  <c r="C12" i="15"/>
  <c r="C9" i="15"/>
  <c r="C8" i="15"/>
  <c r="C6" i="15"/>
  <c r="C19" i="6"/>
  <c r="C12" i="6"/>
  <c r="I14" i="13"/>
  <c r="F3" i="11"/>
  <c r="G3" i="11" s="1"/>
  <c r="C12" i="1"/>
  <c r="C28" i="1" s="1"/>
  <c r="I30" i="10" l="1"/>
  <c r="I25" i="10"/>
  <c r="I24" i="10"/>
  <c r="I23" i="10"/>
  <c r="C14" i="15"/>
  <c r="I28" i="10"/>
  <c r="I27" i="10"/>
  <c r="I31" i="10"/>
  <c r="I21" i="10"/>
  <c r="I22" i="10"/>
  <c r="F30" i="10"/>
  <c r="H30" i="10" s="1"/>
  <c r="F29" i="10"/>
  <c r="H29" i="10" s="1"/>
  <c r="F24" i="10"/>
  <c r="H24" i="10" s="1"/>
  <c r="F27" i="10"/>
  <c r="H27" i="10" s="1"/>
  <c r="F26" i="10"/>
  <c r="H26" i="10" s="1"/>
  <c r="F28" i="10"/>
  <c r="H28" i="10" s="1"/>
  <c r="F31" i="10"/>
  <c r="H31" i="10" s="1"/>
  <c r="F25" i="10"/>
  <c r="H25" i="10" s="1"/>
  <c r="F23" i="10"/>
  <c r="H23" i="10" s="1"/>
  <c r="F22" i="10"/>
  <c r="H22" i="10" s="1"/>
  <c r="F21" i="10"/>
  <c r="H21" i="10" s="1"/>
  <c r="I29" i="10"/>
  <c r="I26" i="10"/>
  <c r="C27" i="15"/>
  <c r="C10" i="6"/>
  <c r="C14" i="6" s="1"/>
  <c r="C10" i="15"/>
  <c r="C19" i="15" s="1"/>
  <c r="J28" i="10" l="1"/>
  <c r="J24" i="10"/>
  <c r="J31" i="10"/>
  <c r="J21" i="10"/>
  <c r="J27" i="10"/>
  <c r="J22" i="10"/>
  <c r="J30" i="10"/>
  <c r="J29" i="10"/>
  <c r="J26" i="10"/>
  <c r="J25" i="10"/>
  <c r="J23" i="10"/>
  <c r="C15" i="6"/>
  <c r="C17" i="6" s="1"/>
  <c r="C16" i="6"/>
  <c r="C24" i="15"/>
  <c r="C20" i="15"/>
  <c r="C33" i="10" l="1"/>
  <c r="C20" i="6"/>
  <c r="C6" i="16" s="1"/>
  <c r="D27" i="15"/>
  <c r="E27" i="15" s="1"/>
  <c r="C21" i="15"/>
  <c r="C36" i="10" l="1"/>
  <c r="C35" i="10"/>
  <c r="C5" i="16"/>
  <c r="C7" i="16" s="1"/>
  <c r="C24" i="6"/>
  <c r="C57" i="15"/>
  <c r="C5" i="6"/>
  <c r="C23" i="6" s="1"/>
  <c r="D5" i="16"/>
  <c r="C22" i="15"/>
  <c r="C23" i="15" s="1"/>
  <c r="D28" i="15"/>
  <c r="F27" i="15"/>
  <c r="C9" i="16" l="1"/>
  <c r="C25" i="6"/>
  <c r="G27" i="15"/>
  <c r="E29" i="15"/>
  <c r="E28" i="15"/>
  <c r="F28" i="15" s="1"/>
  <c r="G28" i="15" s="1"/>
  <c r="H28" i="15" s="1"/>
  <c r="C26" i="6" l="1"/>
  <c r="C27" i="6"/>
  <c r="H27" i="15"/>
  <c r="F30" i="15"/>
  <c r="F29" i="15"/>
  <c r="G29" i="15" s="1"/>
  <c r="H29" i="15" s="1"/>
  <c r="I29" i="15" s="1"/>
  <c r="I28" i="15"/>
  <c r="I27" i="15" l="1"/>
  <c r="J28" i="15"/>
  <c r="G31" i="15"/>
  <c r="G30" i="15"/>
  <c r="H30" i="15" s="1"/>
  <c r="I30" i="15" s="1"/>
  <c r="J30" i="15" s="1"/>
  <c r="J29" i="15"/>
  <c r="K28" i="15" l="1"/>
  <c r="K30" i="15"/>
  <c r="J27" i="15"/>
  <c r="K29" i="15"/>
  <c r="H32" i="15"/>
  <c r="H31" i="15"/>
  <c r="I31" i="15" s="1"/>
  <c r="J31" i="15" s="1"/>
  <c r="K31" i="15" s="1"/>
  <c r="L28" i="15" l="1"/>
  <c r="L29" i="15"/>
  <c r="L30" i="15"/>
  <c r="L31" i="15"/>
  <c r="K27" i="15"/>
  <c r="I33" i="15"/>
  <c r="I32" i="15"/>
  <c r="J32" i="15" s="1"/>
  <c r="K32" i="15" s="1"/>
  <c r="L32" i="15" s="1"/>
  <c r="M28" i="15" l="1"/>
  <c r="M29" i="15"/>
  <c r="M30" i="15"/>
  <c r="M31" i="15"/>
  <c r="M32" i="15"/>
  <c r="L27" i="15"/>
  <c r="J34" i="15"/>
  <c r="J33" i="15"/>
  <c r="K33" i="15" s="1"/>
  <c r="L33" i="15" s="1"/>
  <c r="M33" i="15" s="1"/>
  <c r="N28" i="15" l="1"/>
  <c r="N43" i="15" s="1"/>
  <c r="N30" i="15"/>
  <c r="N45" i="15" s="1"/>
  <c r="N31" i="15"/>
  <c r="N46" i="15" s="1"/>
  <c r="N32" i="15"/>
  <c r="N47" i="15" s="1"/>
  <c r="N33" i="15"/>
  <c r="N48" i="15" s="1"/>
  <c r="N29" i="15"/>
  <c r="N44" i="15" s="1"/>
  <c r="M27" i="15"/>
  <c r="K34" i="15"/>
  <c r="L34" i="15" s="1"/>
  <c r="M34" i="15" s="1"/>
  <c r="N34" i="15" s="1"/>
  <c r="N49" i="15" s="1"/>
  <c r="K35" i="15"/>
  <c r="M46" i="15" l="1"/>
  <c r="M44" i="15"/>
  <c r="M43" i="15"/>
  <c r="M45" i="15"/>
  <c r="N27" i="15"/>
  <c r="N42" i="15" s="1"/>
  <c r="M47" i="15"/>
  <c r="L36" i="15"/>
  <c r="L35" i="15"/>
  <c r="M35" i="15" s="1"/>
  <c r="M48" i="15"/>
  <c r="L44" i="15" l="1"/>
  <c r="M42" i="15"/>
  <c r="L45" i="15"/>
  <c r="K44" i="15" s="1"/>
  <c r="L43" i="15"/>
  <c r="L46" i="15"/>
  <c r="L47" i="15"/>
  <c r="M37" i="15"/>
  <c r="M36" i="15"/>
  <c r="N35" i="15"/>
  <c r="N50" i="15" s="1"/>
  <c r="M49" i="15" s="1"/>
  <c r="L48" i="15" s="1"/>
  <c r="L42" i="15" l="1"/>
  <c r="K43" i="15"/>
  <c r="K45" i="15"/>
  <c r="K46" i="15"/>
  <c r="N38" i="15"/>
  <c r="N53" i="15" s="1"/>
  <c r="N37" i="15"/>
  <c r="N52" i="15" s="1"/>
  <c r="N36" i="15"/>
  <c r="N51" i="15" s="1"/>
  <c r="K47" i="15"/>
  <c r="K42" i="15" l="1"/>
  <c r="J42" i="15" s="1"/>
  <c r="J43" i="15"/>
  <c r="M50" i="15"/>
  <c r="M51" i="15"/>
  <c r="J44" i="15"/>
  <c r="J45" i="15"/>
  <c r="J46" i="15"/>
  <c r="M52" i="15"/>
  <c r="L50" i="15" l="1"/>
  <c r="L49" i="15"/>
  <c r="I42" i="15"/>
  <c r="L51" i="15"/>
  <c r="I44" i="15"/>
  <c r="I43" i="15"/>
  <c r="I45" i="15"/>
  <c r="K50" i="15"/>
  <c r="K49" i="15" l="1"/>
  <c r="K48" i="15"/>
  <c r="H42" i="15"/>
  <c r="H43" i="15"/>
  <c r="H44" i="15"/>
  <c r="J47" i="15"/>
  <c r="J48" i="15"/>
  <c r="J49" i="15"/>
  <c r="G42" i="15" l="1"/>
  <c r="G43" i="15"/>
  <c r="I46" i="15"/>
  <c r="I47" i="15"/>
  <c r="I48" i="15"/>
  <c r="H47" i="15" l="1"/>
  <c r="F42" i="15"/>
  <c r="H45" i="15"/>
  <c r="H46" i="15"/>
  <c r="G46" i="15" l="1"/>
  <c r="G44" i="15"/>
  <c r="G45" i="15"/>
  <c r="F45" i="15" s="1"/>
  <c r="F43" i="15" l="1"/>
  <c r="F44" i="15"/>
  <c r="E44" i="15" s="1"/>
  <c r="E43" i="15" l="1"/>
  <c r="D43" i="15" s="1"/>
  <c r="E42" i="15"/>
  <c r="D42" i="15" l="1"/>
  <c r="C42" i="15" s="1"/>
  <c r="C58" i="15" s="1"/>
  <c r="C59" i="15" l="1"/>
  <c r="C60" i="15"/>
  <c r="C61" i="15"/>
  <c r="D6" i="16"/>
  <c r="D7" i="16" s="1"/>
  <c r="D9" i="16" l="1"/>
  <c r="D10"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<sst xmlns="http://schemas.openxmlformats.org/spreadsheetml/2006/main" count="377" uniqueCount="322">
  <si>
    <t>Coupon Frequency  (per year)</t>
  </si>
  <si>
    <t>Semi-annual payments</t>
  </si>
  <si>
    <t>Maturity  (years from valuation date)</t>
  </si>
  <si>
    <t>Risk-Free Rate  (annual)</t>
  </si>
  <si>
    <t>Credit Spread  (annual)</t>
  </si>
  <si>
    <t>Equity Volatility  (annual)</t>
  </si>
  <si>
    <t>Dividend Yield</t>
  </si>
  <si>
    <t>CYTK pays no dividend</t>
  </si>
  <si>
    <t>Coupon Payment  ($)</t>
  </si>
  <si>
    <t>Number of Coupon Periods</t>
  </si>
  <si>
    <t>Binomial Steps  (n)</t>
  </si>
  <si>
    <t>Bond Floor  ($)</t>
  </si>
  <si>
    <t>Stock Price  S  ($)</t>
  </si>
  <si>
    <t>Strike / Conversion Price  K  ($)</t>
  </si>
  <si>
    <t>Time to Maturity  T  (years)</t>
  </si>
  <si>
    <t>Risk-Free Rate  r</t>
  </si>
  <si>
    <t>Volatility  σ</t>
  </si>
  <si>
    <t>Dividend Yield  q</t>
  </si>
  <si>
    <t>d1</t>
  </si>
  <si>
    <t>d1: (LN(S/K)+(r-q+vol^2/2)*T)/(vol*SQRT(T))</t>
  </si>
  <si>
    <t>d2</t>
  </si>
  <si>
    <t>d2: d1 - vol*SQRT(T)</t>
  </si>
  <si>
    <t>N(d1)</t>
  </si>
  <si>
    <t>Standard normal CDF of d1  (NORM.S.DIST)</t>
  </si>
  <si>
    <t>N(d2)</t>
  </si>
  <si>
    <t>Standard normal CDF of d2</t>
  </si>
  <si>
    <t>BSM Call Value per share  ($)</t>
  </si>
  <si>
    <t>BSM Call: S*EXP(-q*T)*N(d1) - K*EXP(-r*T)*N(d2)</t>
  </si>
  <si>
    <t>Conversion Ratio</t>
  </si>
  <si>
    <t>Option Value  ($ per note)</t>
  </si>
  <si>
    <t>Embedded Option Value  ($)</t>
  </si>
  <si>
    <t>BSM Total Fair Value  ($ per note)</t>
  </si>
  <si>
    <t>Bond Floor  (% of total)</t>
  </si>
  <si>
    <t>Option Value  (% of total)</t>
  </si>
  <si>
    <t>Number of Steps  (n)</t>
  </si>
  <si>
    <t>Option as % of Total</t>
  </si>
  <si>
    <t>Valuation Date</t>
  </si>
  <si>
    <t>Date of Maturity</t>
  </si>
  <si>
    <t>CYTK 10-K Feb 26, 2026</t>
  </si>
  <si>
    <t>Coupon Rate  (annualized)</t>
  </si>
  <si>
    <t xml:space="preserve">  A.  INSTRUMENT TERMS  </t>
  </si>
  <si>
    <t xml:space="preserve">Conversion Ratio  </t>
  </si>
  <si>
    <t>https://ir.cytokinetics.com/press-releases/press-release-details/2025/Cytokinetics-Announces-Pricing-of-Upsized-650-0-Million-Convertible-Senior-Notes-Offering-Refinances-a-Portion-of-2027-Convertible-Notes/default.aspx</t>
  </si>
  <si>
    <t xml:space="preserve"> fred.stlouisfed.org/series/DGS10</t>
  </si>
  <si>
    <t xml:space="preserve">  B.  MARKET INPUTS  </t>
  </si>
  <si>
    <t>Date of Issue</t>
  </si>
  <si>
    <t>Date</t>
  </si>
  <si>
    <t>Adj Close </t>
  </si>
  <si>
    <t>Standard Dev</t>
  </si>
  <si>
    <t>Delta</t>
  </si>
  <si>
    <t>Volatility</t>
  </si>
  <si>
    <t>Total Days</t>
  </si>
  <si>
    <t>Working Days</t>
  </si>
  <si>
    <t xml:space="preserve">  A.  INSTRUMENT TERMS</t>
  </si>
  <si>
    <t>Face Value  ($)</t>
  </si>
  <si>
    <t>Annual Coupon Rate</t>
  </si>
  <si>
    <t>Settlement / Issue Date</t>
  </si>
  <si>
    <t>First Coupon Date</t>
  </si>
  <si>
    <t>Maturity Date</t>
  </si>
  <si>
    <t>Semi-Annual Coupon  ($)</t>
  </si>
  <si>
    <t>Risk-Free Rate  (Rf)</t>
  </si>
  <si>
    <t>Credit Spread  (CS)</t>
  </si>
  <si>
    <t>Period</t>
  </si>
  <si>
    <t>Payment Date</t>
  </si>
  <si>
    <t>Days</t>
  </si>
  <si>
    <t>t (yrs)</t>
  </si>
  <si>
    <t>Coupon ($)</t>
  </si>
  <si>
    <t>Principal ($)</t>
  </si>
  <si>
    <t>Total CF ($)</t>
  </si>
  <si>
    <t>PV ($)</t>
  </si>
  <si>
    <t>Accrued Interest  ($)</t>
  </si>
  <si>
    <t>Note</t>
  </si>
  <si>
    <t xml:space="preserve">STRAIGHT BOND VALUATION  </t>
  </si>
  <si>
    <t>Isssue Size (USD Mn)</t>
  </si>
  <si>
    <t>Unrated Premium</t>
  </si>
  <si>
    <t>Comparable Companies</t>
  </si>
  <si>
    <t>Credit Rating</t>
  </si>
  <si>
    <t>Source</t>
  </si>
  <si>
    <t>BioMarin Pharmaceutical</t>
  </si>
  <si>
    <t>Ticker</t>
  </si>
  <si>
    <t>BMRN</t>
  </si>
  <si>
    <t>Gilead Sciences</t>
  </si>
  <si>
    <t>GILD</t>
  </si>
  <si>
    <t>A- (S&amp;P)A3 (Moody's)</t>
  </si>
  <si>
    <t>A biopharmaceutical giant heavily dominant in antiviral therapeutics, specifically pioneering treatments for HIV, Hepatitis B, Hepatitis C, and COVID-19 (remdesivir), while expanding into oncology.</t>
  </si>
  <si>
    <t>S&amp;P Global Ratings: "Gilead Sciences Inc.'s Proposed Senior Unsecured Debt Rated 'A-'" (May 14, 2026)Moody's Investors Service: "Moody's Ratings assigns A3 rating to Gilead's notes" (May 14, 2026)</t>
  </si>
  <si>
    <t>Amgen</t>
  </si>
  <si>
    <t>AMGN</t>
  </si>
  <si>
    <t>BBB+ (S&amp;P)</t>
  </si>
  <si>
    <t>One of the world's largest independent biotech pioneers, focusing on human therapeutics across oncology, nephrology, cardiology, and inflammation, with major biologic blockbusters like Enbrel and Prolia.</t>
  </si>
  <si>
    <t>S&amp;P Global Ratings: "Amgen Inc. Downgraded To 'BBB+' From 'A-'" (Dec 12, 2022) — Affirmed March 24, 2025</t>
  </si>
  <si>
    <t>Regeneron Pharmaceuticals</t>
  </si>
  <si>
    <t>REGN</t>
  </si>
  <si>
    <t>A fully integrated biopharmaceutical firm that discovers, invents, develops, and commercializes medicines for serious medical conditions, notably eye diseases (Eylea), allergic/inflammatory diseases (Dupixent), and cancer.</t>
  </si>
  <si>
    <t>S&amp;P Global Ratings: "Regeneron Pharmaceuticals Inc. Assigned 'BBB+' Issuer Credit Rating; Outlook Stable" (Aug 5, 2020)</t>
  </si>
  <si>
    <t>Biogen</t>
  </si>
  <si>
    <t>BIIB</t>
  </si>
  <si>
    <t>Baa2 (Moody's)</t>
  </si>
  <si>
    <t>A specialized biopharmaceutical company deeply focused on neurodegenerative diseases, neurovascular disorders, and specialized immunology, known for its multiple sclerosis franchise and Alzheimer's disease treatments.</t>
  </si>
  <si>
    <t>Moody's Investors Service: "Rating Action: Moody's downgrades Biogen to Baa2; negative outlook" (Apr 11, 2022) — Affirmed March 5, 2024</t>
  </si>
  <si>
    <t>Vertex Pharmaceuticals</t>
  </si>
  <si>
    <t>VRTX</t>
  </si>
  <si>
    <t>A global biotechnology company that invests in scientific innovation to create transformative medicines for people with serious diseases, holding a near-monopoly on treatments for cystic fibrosis (CF) alongside expanding pipelines in gene editing.</t>
  </si>
  <si>
    <t>S&amp;P Global Ratings: Public debt issuance ratings for senior unsecured notes.</t>
  </si>
  <si>
    <t>BB+ (S&amp;P / Fitch)</t>
  </si>
  <si>
    <t>A biotechnology company dedicated to developing and commercializing innovative therapies for patients with serious and life-threatening rare genetic diseases and medical conditions.</t>
  </si>
  <si>
    <t>S&amp;P Global / Fitch: Standard high-yield corporate debt issuance ratings.</t>
  </si>
  <si>
    <t>Company Overview</t>
  </si>
  <si>
    <t>Primary Rating Sources &amp; Report Dates</t>
  </si>
  <si>
    <t>Face Value (USD per share)</t>
  </si>
  <si>
    <t>Conversion Price  (USD per share)</t>
  </si>
  <si>
    <t>Stock Price at Issuance  (USD per share)</t>
  </si>
  <si>
    <t>Bond Floor Clean Price  ($)</t>
  </si>
  <si>
    <t>Bond Floor Dirty Price  ($)</t>
  </si>
  <si>
    <t xml:space="preserve">Discount Rate </t>
  </si>
  <si>
    <t>Since there is no specific credit rating for the bonds, adding a risk premium to the spread</t>
  </si>
  <si>
    <t>Factor</t>
  </si>
  <si>
    <t>Wt</t>
  </si>
  <si>
    <t>Moody's B</t>
  </si>
  <si>
    <t>Moody's Caa</t>
  </si>
  <si>
    <t>Moody's Ca</t>
  </si>
  <si>
    <t>CYTK  (TTM Mar 2026)</t>
  </si>
  <si>
    <t>Score</t>
  </si>
  <si>
    <t>Revenue ($B)</t>
  </si>
  <si>
    <t>Ca</t>
  </si>
  <si>
    <t>Geographic Diversity</t>
  </si>
  <si>
    <t>Patent Exposures</t>
  </si>
  <si>
    <t>Pipeline Quality</t>
  </si>
  <si>
    <t>omecamtiv mecarbil
(Phase 3, HF)</t>
  </si>
  <si>
    <t>B</t>
  </si>
  <si>
    <t>CYTK pipeline disclosures; Q1 2026 earnings call</t>
  </si>
  <si>
    <t>Debt / EBITDA</t>
  </si>
  <si>
    <t>Financial Policy</t>
  </si>
  <si>
    <t xml:space="preserve">September 16, 2025  Press release </t>
  </si>
  <si>
    <t>Share price  ($ per share)</t>
  </si>
  <si>
    <t>Adjusted close on June 5, 2026</t>
  </si>
  <si>
    <t>B:  $1–$3B</t>
  </si>
  <si>
    <t>Caa:  $0.25–$1B</t>
  </si>
  <si>
    <t>Ca:  &lt;$0.25B</t>
  </si>
  <si>
    <t>Product &amp;
Therapeutic Diversity</t>
  </si>
  <si>
    <t>B:  Top 3 &gt; 60% rev</t>
  </si>
  <si>
    <t>Caa:  Top 3 &gt; 70%</t>
  </si>
  <si>
    <t>Ca:  Reliant on 1 product</t>
  </si>
  <si>
    <t>Single product: MYQORZO
(aficamten / HCM)</t>
  </si>
  <si>
    <t>B:  75–90% one region</t>
  </si>
  <si>
    <t>Caa:  &gt;90% (diverse payors)</t>
  </si>
  <si>
    <t>Ca:  &gt;90% + limited payors</t>
  </si>
  <si>
    <t>Caa</t>
  </si>
  <si>
    <t>B:  At risk &gt;30%
(3 yrs)</t>
  </si>
  <si>
    <t>Caa:  At risk &gt;40%</t>
  </si>
  <si>
    <t>Ca:  At risk &gt;50%</t>
  </si>
  <si>
    <t>No ANDA challenges
Aficamten IP past 2031</t>
  </si>
  <si>
    <t>Ba</t>
  </si>
  <si>
    <t>B:  Peak sales &lt;10%
of current revenue</t>
  </si>
  <si>
    <t>Caa:  Peak sales &lt;5%</t>
  </si>
  <si>
    <t>Ca:  No late-stage pipeline</t>
  </si>
  <si>
    <t>B:  4.5–6x</t>
  </si>
  <si>
    <t>Caa:  6–9x</t>
  </si>
  <si>
    <t>Ca:  &gt;9x</t>
  </si>
  <si>
    <t>EBITDA $(634.6M) TTM
Negative → not calculable</t>
  </si>
  <si>
    <t>B:  0–5%</t>
  </si>
  <si>
    <t>Caa:  &lt;0%</t>
  </si>
  <si>
    <t>Ca:  &lt;(5)%</t>
  </si>
  <si>
    <t>B:  1–2.25x</t>
  </si>
  <si>
    <t>Caa:  0.5–1x</t>
  </si>
  <si>
    <t>Ca:  &lt;0.5x</t>
  </si>
  <si>
    <t>B:  Favors shareholders;
high financial risk</t>
  </si>
  <si>
    <t>Caa:  Elevated restructuring risk</t>
  </si>
  <si>
    <t>Ca:  Very elevated risk</t>
  </si>
  <si>
    <t>No dividend; no buybacks
Conservative management</t>
  </si>
  <si>
    <t>Aggregate Numeric Score  =  17.30</t>
  </si>
  <si>
    <t>Cash  ($M)</t>
  </si>
  <si>
    <t>Q1 2026 8-K  ·  Moody's Sep 2025, p.13: 'Large cash holdings provide buffers against credit deterioration'</t>
  </si>
  <si>
    <t>2031 notes $750M + residual 2027 notes ~$138M</t>
  </si>
  <si>
    <t>Net Debt  ($M)</t>
  </si>
  <si>
    <t>Cash Burn  (TTM)</t>
  </si>
  <si>
    <t>~17-month runway at current rate. Forward burn decreases as aficamten scales.</t>
  </si>
  <si>
    <t>Scorecard-Indicated</t>
  </si>
  <si>
    <t>Caa1
(score 17.30)</t>
  </si>
  <si>
    <t>IMPLIED RATING</t>
  </si>
  <si>
    <t>B3 / B2</t>
  </si>
  <si>
    <t xml:space="preserve">CYTK  Implied Credit Rating  ·  Moody's Pharmaceutical Scorecard </t>
  </si>
  <si>
    <t>FY 2024</t>
  </si>
  <si>
    <t>FY 2025</t>
  </si>
  <si>
    <t>TTM Mar 2026</t>
  </si>
  <si>
    <t>Includes collaboration revenue. Aficamten product rev: $4.8M Q1 2026 only.</t>
  </si>
  <si>
    <t>EBITDA margin -708% TTM</t>
  </si>
  <si>
    <t>Used for EBIT/Interest metric in Sep 2025 scorecard</t>
  </si>
  <si>
    <t>Cash burn $524M/yr → ~17-month runway</t>
  </si>
  <si>
    <t>Per Q1 2026 8-K</t>
  </si>
  <si>
    <t>2031 notes $750M + residual 2027 ~$138M</t>
  </si>
  <si>
    <t>$888M − $755.9M  ·  Used in RCF/Net Debt metric</t>
  </si>
  <si>
    <t>Retained Cash Flow  (RCF = OCF − dividends)</t>
  </si>
  <si>
    <t>Net Debt  (financial debt face − cash)</t>
  </si>
  <si>
    <t>RCF / Net Debt</t>
  </si>
  <si>
    <t xml:space="preserve">TTM Financials </t>
  </si>
  <si>
    <t>Rating</t>
  </si>
  <si>
    <t>Numeric Score</t>
  </si>
  <si>
    <t>Aaa</t>
  </si>
  <si>
    <t>Aa</t>
  </si>
  <si>
    <t>A</t>
  </si>
  <si>
    <t>Baa</t>
  </si>
  <si>
    <t>US only; &gt;95% US rev; 
Diverse Payors</t>
  </si>
  <si>
    <t xml:space="preserve">RCF / Net Debt
</t>
  </si>
  <si>
    <t xml:space="preserve">EBIT / Interest Expense
</t>
  </si>
  <si>
    <t xml:space="preserve"> EBIT $(645,845)K TTM
Interest exp $68.56M</t>
  </si>
  <si>
    <t>Per Exhibit 5 (Rating methodology): 16.5 &lt; x ≤ 17.5 → Caa1</t>
  </si>
  <si>
    <t>Financial Debt Face Value($M)</t>
  </si>
  <si>
    <t>Note :</t>
  </si>
  <si>
    <t>CYTK's scorecard metrics are poor because aficamten launched in January 2026 and the company is in its first year of commercialisation. The Caa1 raw score reflects that but not imminent default risk. With $755.9M cash and $132M net debt, CYTK can sustain current burn for over a year while aficamten scales. Moody's September 2025 methodology (p.13) explicitly recognises excess cash as a ratings consideration outside the scorecard. One to two notch uplift to B3/B2 reflects the time the balance sheet buys, not an endorsement of the current financials.</t>
  </si>
  <si>
    <t>1–2 notch uplift for exceptional liquidity ($755.9M cash vs $132M net debt)</t>
  </si>
  <si>
    <t>https://fred.stlouisfed.org/series/BAMLH0A2HYB</t>
  </si>
  <si>
    <t>DF</t>
  </si>
  <si>
    <t xml:space="preserve">  SCORECARD </t>
  </si>
  <si>
    <t>Points</t>
  </si>
  <si>
    <t xml:space="preserve">Source: Moody's Ratings  'Rating Methodology: Pharmaceuticals' (September 15, 2025)  ·  Report No. 1439384  </t>
  </si>
  <si>
    <t xml:space="preserve">  LIQUIDITY OVERRIDE  · Excess Cash Balances (p.13)</t>
  </si>
  <si>
    <t>Number of Notes</t>
  </si>
  <si>
    <t>Time Zero Stock Price  ($)</t>
  </si>
  <si>
    <t>Conversion Price  (K)  ($)</t>
  </si>
  <si>
    <t>Time to Expiration  (years)</t>
  </si>
  <si>
    <t>Sigma  (σ)</t>
  </si>
  <si>
    <t>Total Discount Rate</t>
  </si>
  <si>
    <t>Contingent Conv. Threshold  ($)</t>
  </si>
  <si>
    <t>delta t  (Δt)</t>
  </si>
  <si>
    <t>t / n</t>
  </si>
  <si>
    <t>u  (up factor)</t>
  </si>
  <si>
    <t>d  (down factor)</t>
  </si>
  <si>
    <t>1 / u</t>
  </si>
  <si>
    <t>Risk-Neutral Probability p</t>
  </si>
  <si>
    <t>1−p</t>
  </si>
  <si>
    <t>exp(−disc × Δt)</t>
  </si>
  <si>
    <t>Discount factor per step</t>
  </si>
  <si>
    <t>n=0
Jun-26</t>
  </si>
  <si>
    <t>n=1
Oct-26</t>
  </si>
  <si>
    <t>n=2
Apr-27</t>
  </si>
  <si>
    <t>n=3
Oct-27</t>
  </si>
  <si>
    <t>n=4
Apr-28</t>
  </si>
  <si>
    <t>n=5
Oct-28</t>
  </si>
  <si>
    <t>n=6
Apr-29</t>
  </si>
  <si>
    <t>n=7
Oct-29</t>
  </si>
  <si>
    <t>n=8
Apr-30</t>
  </si>
  <si>
    <t>n=9
Oct-30</t>
  </si>
  <si>
    <t>n=10
Apr-31</t>
  </si>
  <si>
    <t>n=11
Oct-31</t>
  </si>
  <si>
    <t xml:space="preserve">  Results</t>
  </si>
  <si>
    <t>Lattice Fair Value  ($)</t>
  </si>
  <si>
    <t>Equity Option Component  ($)</t>
  </si>
  <si>
    <t>Bond Floor as % of Total</t>
  </si>
  <si>
    <t>EXP(σ × √Δt)</t>
  </si>
  <si>
    <t>(EXP(rf×Δt) − d) / (u−d)</t>
  </si>
  <si>
    <t>d=1</t>
  </si>
  <si>
    <t>d=2</t>
  </si>
  <si>
    <t>d=3</t>
  </si>
  <si>
    <t>d=4</t>
  </si>
  <si>
    <t>d=5</t>
  </si>
  <si>
    <t>d=6</t>
  </si>
  <si>
    <t>d=7</t>
  </si>
  <si>
    <t>d=8</t>
  </si>
  <si>
    <t>d=9</t>
  </si>
  <si>
    <t>d=10</t>
  </si>
  <si>
    <t>d=11</t>
  </si>
  <si>
    <t>d=0</t>
  </si>
  <si>
    <t xml:space="preserve">d=0  </t>
  </si>
  <si>
    <t xml:space="preserve">Bond Floor as % of Par  </t>
  </si>
  <si>
    <t>Value of Straight Bond</t>
  </si>
  <si>
    <t>Particulars</t>
  </si>
  <si>
    <t>Add : Conversion Option</t>
  </si>
  <si>
    <t>Value of 2031 Convertible Note</t>
  </si>
  <si>
    <t>USD Mn</t>
  </si>
  <si>
    <t xml:space="preserve">BSM Model </t>
  </si>
  <si>
    <t>Binomial Model</t>
  </si>
  <si>
    <t>Bond Floor ($)</t>
  </si>
  <si>
    <t>Variance</t>
  </si>
  <si>
    <t>Credit Rating derived at B; https://fred.stlouisfed.org/series/BAMLH0A2HYB; refer credit rating sheet</t>
  </si>
  <si>
    <t xml:space="preserve">  C.  CASH FLOW SCHEDULE</t>
  </si>
  <si>
    <t xml:space="preserve">  D.  BOND FLOOR </t>
  </si>
  <si>
    <t xml:space="preserve">Total Assets </t>
  </si>
  <si>
    <t xml:space="preserve">Total Equity </t>
  </si>
  <si>
    <t xml:space="preserve">CYTK  Key Financials </t>
  </si>
  <si>
    <t>CONVERTIBLE NOTE VALUATION  | Cytokinetics (CYTK) | 1.75% Notes due Oct 2031</t>
  </si>
  <si>
    <t xml:space="preserve">  Income Statement  </t>
  </si>
  <si>
    <t xml:space="preserve">  Balance Sheet </t>
  </si>
  <si>
    <t xml:space="preserve">  B.  DISCOUNT RATE</t>
  </si>
  <si>
    <t>Valuation Summary</t>
  </si>
  <si>
    <t>Sr no.</t>
  </si>
  <si>
    <t>Straight Bond</t>
  </si>
  <si>
    <t>BSM Model</t>
  </si>
  <si>
    <t>Key Financials</t>
  </si>
  <si>
    <t>i</t>
  </si>
  <si>
    <t>BLACK-SCHOLES-MERTON (BSM)  Convertible Note Valuation  ·  Cytokinetics 1.75% Notes due 2031</t>
  </si>
  <si>
    <t>Binomial Lattice   Convertible Note Valuation  ·  Cytokinetics 1.75% Notes due 2031</t>
  </si>
  <si>
    <t>C.  BSM TOTAL FAIR VALUE &amp; COMPONENT SPLIT</t>
  </si>
  <si>
    <t>CYTK Volatility Computation</t>
  </si>
  <si>
    <t>Reference</t>
  </si>
  <si>
    <t xml:space="preserve">Company Overview : </t>
  </si>
  <si>
    <t xml:space="preserve">Cytokinetics (Nasdaq: CYTK) is a specialty cardiovascular biopharmaceutical company focused on cardiac muscle dysfunction. Building on over 25 years of research in muscle biology, the company launched its first commercial product, MYQORZO (aficamten), in January 2026 for adults with symptomatic obstructive hypertrophic cardiomyopathy. MYQORZO has also received approval from the European Commission and China's NMPA, with a first European launch planned in Germany. The pipeline includes omecamtiv mecarbil, a cardiac myosin activator in Phase 3 development for heart failure. </t>
  </si>
  <si>
    <t>A.  Inputs:</t>
  </si>
  <si>
    <t xml:space="preserve">  B. Output:  Initial Calculations</t>
  </si>
  <si>
    <t>Assumptions and Terms</t>
  </si>
  <si>
    <t>spread based on derived credit rating</t>
  </si>
  <si>
    <t>annualized volatility of CYTK</t>
  </si>
  <si>
    <t xml:space="preserve">  C.  DERIVED INPUTS  </t>
  </si>
  <si>
    <t xml:space="preserve">Financial Debt </t>
  </si>
  <si>
    <t xml:space="preserve">Cash  </t>
  </si>
  <si>
    <t xml:space="preserve">Net Debt  </t>
  </si>
  <si>
    <t xml:space="preserve">Total Revenue </t>
  </si>
  <si>
    <t xml:space="preserve">EBITDA  </t>
  </si>
  <si>
    <t xml:space="preserve">EBIT  </t>
  </si>
  <si>
    <t xml:space="preserve">Operating Cash Flow  </t>
  </si>
  <si>
    <t xml:space="preserve">Valuation as on March 31, 2026 (10K)  </t>
  </si>
  <si>
    <t xml:space="preserve">Discount Rate for Bond Floor </t>
  </si>
  <si>
    <t xml:space="preserve">#Note : These companies cannot be considered as exact comparables because CYTK only recently launched its first commercial product in January 2026; Hence we use build-up approach for determining the credit rating </t>
  </si>
  <si>
    <t>CYTK Q1 2026 8-K
US = diverse payor market → Caa not Ca</t>
  </si>
  <si>
    <t>CYTK 2025 10-K</t>
  </si>
  <si>
    <t>BSM values the conversion option as a European call exercisable at maturity, with no path-dependent restrictions. The actual instrument is more restrictive: before July 1, 2031, the holder can convert only if the stock exceeds $88.95 (130% of the $68.42 conversion price) for 20 of 30 consecutive trading days. BSM does not capture this contingency and therefore overstates the option value. The binomial lattice on the next sheet applies the threshold condition at each node and provides a more accurate valuation.</t>
  </si>
  <si>
    <t xml:space="preserve">  RCF / Net Debt  </t>
  </si>
  <si>
    <t>$(523.8M)</t>
  </si>
  <si>
    <t>A. BOND FLOOR  : PV of Straight Debt Component</t>
  </si>
  <si>
    <t>B.  EMBEDDED CALL :  BSM Formula</t>
  </si>
  <si>
    <t xml:space="preserve">Corroboration </t>
  </si>
  <si>
    <t>CYTK 10-K Feb 26, 2026; Conversion can happen only if the share price is traded at 30% premium of conversion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</si>
</sst>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
    <numFmt numFmtId="165" formatCode="0.00%;\(0.00%\);\-"/>
    <numFmt numFmtId="166" formatCode="0.00;\(0.00\);\-"/>
    <numFmt numFmtId="167" formatCode="#,##0.00;\(#,##0.00\);\-"/>
    <numFmt numFmtId="168" formatCode="0.0000;\(0.0000\);\-"/>
    <numFmt numFmtId="169" formatCode="_(* #,##0.0_);_(* \(#,##0.0\);_(* &quot;-&quot;??_);_(@_)"/>
    <numFmt numFmtId="170" formatCode="dd\-mmm\-yy"/>
    <numFmt numFmtId="171" formatCode="0.00%;\(0.00\)%"/>
    <numFmt numFmtId="172" formatCode="0,000;\(0,000\);\-"/>
    <numFmt numFmtId="173" formatCode="0.0%"/>
    <numFmt numFmtId="174" formatCode="_(* #,##0.000_);_(* \(#,##0.000\);_(* &quot;-&quot;??_);_(@_)"/>
  </numFmts>
  <fonts count="23" x14ac:knownFonts="1">
    <font>
      <sz val="11"/>
      <color theme="1"/>
      <name val="Calibri"/>
      <family val="2"/>
      <charset val="1"/>
    </font>
    <font>
      <sz val="11"/>
      <color theme="1"/>
      <name val="Calibri"/>
      <family val="2"/>
      <scheme val="minor"/>
    </font>
    <font>
      <sz val="10"/>
      <name val="Arial"/>
      <family val="2"/>
    </font>
    <font>
      <b/>
      <sz val="10"/>
      <color rgb="FFFFFFFF"/>
      <name val="Trebuchet MS"/>
      <family val="2"/>
    </font>
    <font>
      <sz val="10"/>
      <color rgb="FF000000"/>
      <name val="Trebuchet MS"/>
      <family val="2"/>
    </font>
    <font>
      <sz val="10"/>
      <color theme="1"/>
      <name val="Trebuchet MS"/>
      <family val="2"/>
    </font>
    <font>
      <i/>
      <sz val="10"/>
      <color rgb="FF808080"/>
      <name val="Trebuchet MS"/>
      <family val="2"/>
    </font>
    <font>
      <b/>
      <sz val="10"/>
      <name val="Trebuchet MS"/>
      <family val="2"/>
    </font>
    <font>
      <sz val="10"/>
      <name val="Trebuchet MS"/>
      <family val="2"/>
    </font>
    <font>
      <u/>
      <sz val="11"/>
      <color theme="10"/>
      <name val="Calibri"/>
      <family val="2"/>
      <charset val="1"/>
    </font>
    <font>
      <sz val="10"/>
      <name val="Arial"/>
      <family val="2"/>
    </font>
    <font>
      <b/>
      <sz val="10"/>
      <color theme="1"/>
      <name val="Trebuchet MS"/>
      <family val="2"/>
    </font>
    <font>
      <sz val="9"/>
      <color theme="1"/>
      <name val="Trebuchet MS"/>
      <family val="2"/>
    </font>
    <font>
      <sz val="10"/>
      <color rgb="FF232A31"/>
      <name val="Trebuchet MS"/>
      <family val="2"/>
    </font>
    <font>
      <u/>
      <sz val="10"/>
      <color theme="10"/>
      <name val="Trebuchet MS"/>
      <family val="2"/>
    </font>
    <font>
      <b/>
      <sz val="10"/>
      <color rgb="FF000000"/>
      <name val="Trebuchet MS"/>
      <family val="2"/>
    </font>
    <font>
      <b/>
      <sz val="10"/>
      <color theme="0"/>
      <name val="Trebuchet MS"/>
      <family val="2"/>
    </font>
    <font>
      <b/>
      <sz val="10"/>
      <color rgb="FF1F3864"/>
      <name val="Trebuchet MS"/>
      <family val="2"/>
    </font>
    <font>
      <i/>
      <sz val="10"/>
      <color rgb="FFFFFFFF"/>
      <name val="Trebuchet MS"/>
      <family val="2"/>
    </font>
    <font>
      <b/>
      <i/>
      <sz val="10"/>
      <color theme="1"/>
      <name val="Trebuchet MS"/>
      <family val="2"/>
    </font>
    <font>
      <i/>
      <sz val="10"/>
      <name val="Trebuchet MS"/>
      <family val="2"/>
    </font>
    <font>
      <i/>
      <sz val="10"/>
      <color theme="1"/>
      <name val="Trebuchet MS"/>
      <family val="2"/>
    </font>
    <font>
      <i/>
      <sz val="10"/>
      <name val="Arial"/>
      <family val="2"/>
    </font>
  </fonts>
  <fills count="23">
    <fill>
      <patternFill patternType="none"/>
    </fill>
    <fill>
      <patternFill patternType="gray125"/>
    </fill>
    <fill>
      <patternFill patternType="solid">
        <fgColor rgb="FF1F3864"/>
        <bgColor rgb="FF333399"/>
      </patternFill>
    </fill>
    <fill>
      <patternFill patternType="solid">
        <fgColor rgb="FFFFFFFF"/>
        <bgColor rgb="FFF2F7FB"/>
      </patternFill>
    </fill>
    <fill>
      <patternFill patternType="solid">
        <fgColor rgb="FFFFF2CC"/>
        <bgColor rgb="FFE2EFDA"/>
      </patternFill>
    </fill>
    <fill>
      <patternFill patternType="solid">
        <fgColor theme="4" tint="0.59999389629810485"/>
        <bgColor rgb="FF333399"/>
      </patternFill>
    </fill>
    <fill>
      <patternFill patternType="solid">
        <fgColor theme="4" tint="0.39997558519241921"/>
        <bgColor indexed="64"/>
      </patternFill>
    </fill>
    <fill>
      <patternFill patternType="solid">
        <fgColor rgb="FF1F3864"/>
        <bgColor rgb="FF333333"/>
      </patternFill>
    </fill>
    <fill>
      <patternFill patternType="solid">
        <fgColor theme="3"/>
        <bgColor indexed="64"/>
      </patternFill>
    </fill>
    <fill>
      <patternFill patternType="solid">
        <fgColor theme="4" tint="0.79998168889431442"/>
        <bgColor indexed="64"/>
      </patternFill>
    </fill>
    <fill>
      <patternFill patternType="solid">
        <fgColor rgb="FFF2F7FB"/>
        <bgColor rgb="FFF0F5FF"/>
      </patternFill>
    </fill>
    <fill>
      <patternFill patternType="solid">
        <fgColor rgb="FFFF9999"/>
        <bgColor rgb="FFFF8080"/>
      </patternFill>
    </fill>
    <fill>
      <patternFill patternType="solid">
        <fgColor rgb="FFFFCCCC"/>
        <bgColor rgb="FFFFD9D9"/>
      </patternFill>
    </fill>
    <fill>
      <patternFill patternType="solid">
        <fgColor rgb="FFFFF2CC"/>
        <bgColor rgb="FFFEF0E8"/>
      </patternFill>
    </fill>
    <fill>
      <patternFill patternType="solid">
        <fgColor rgb="FFE2EFDA"/>
        <bgColor rgb="FFE9F0FA"/>
      </patternFill>
    </fill>
    <fill>
      <patternFill patternType="solid">
        <fgColor theme="3" tint="0.59999389629810485"/>
        <bgColor indexed="64"/>
      </patternFill>
    </fill>
    <fill>
      <patternFill patternType="solid">
        <fgColor theme="3" tint="0.59999389629810485"/>
        <bgColor rgb="FF333333"/>
      </patternFill>
    </fill>
    <fill>
      <patternFill patternType="solid">
        <fgColor theme="3" tint="0.79998168889431442"/>
        <bgColor indexed="64"/>
      </patternFill>
    </fill>
    <fill>
      <patternFill patternType="solid">
        <fgColor theme="3" tint="0.59999389629810485"/>
        <bgColor rgb="FF333399"/>
      </patternFill>
    </fill>
    <fill>
      <patternFill patternType="solid">
        <fgColor theme="3" tint="0.59999389629810485"/>
        <bgColor rgb="FF333300"/>
      </patternFill>
    </fill>
    <fill>
      <patternFill patternType="solid">
        <fgColor theme="6" tint="0.59999389629810485"/>
        <bgColor indexed="64"/>
      </patternFill>
    </fill>
    <fill>
      <patternFill patternType="solid">
        <fgColor theme="9" tint="0.79998168889431442"/>
        <bgColor indexed="64"/>
      </patternFill>
    </fill>
    <fill>
      <patternFill patternType="solid">
        <fgColor theme="4" tint="0.39997558519241921"/>
        <bgColor rgb="FFDBE5F1"/>
      </patternFill>
    </fill>
  </fills>
  <borders count="1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right/>
      <top style="thin">
        <color theme="0" tint="-0.34998626667073579"/>
      </top>
      <bottom style="thin">
        <color theme="0" tint="-0.34998626667073579"/>
      </bottom>
      <diagonal/>
    </border>
  </borders>
  <cellStyleXfs count="9">
    <xf numFmtId="0" fontId="0" fillId="0" borderId="0"/>
    <xf numFmtId="43" fontId="2" fillId="0" borderId="0" applyBorder="0" applyAlignment="0" applyProtection="0"/>
    <xf numFmtId="9" fontId="2" fillId="0" borderId="0" applyBorder="0" applyAlignment="0" applyProtection="0"/>
    <xf numFmtId="0" fontId="9" fillId="0" borderId="0" applyNumberFormat="0" applyFill="0" applyBorder="0" applyAlignment="0" applyProtection="0"/>
    <xf numFmtId="0" fontId="1" fillId="0" borderId="0"/>
    <xf numFmtId="43" fontId="1" fillId="0" borderId="0" applyFont="0" applyFill="0" applyBorder="0" applyAlignment="0" applyProtection="0"/>
    <xf numFmtId="0" fontId="10" fillId="0" borderId="0"/>
    <xf numFmtId="9" fontId="1" fillId="0" borderId="0" applyFont="0" applyFill="0" applyBorder="0" applyAlignment="0" applyProtection="0"/>
    <xf numFmtId="9" fontId="12" fillId="0" borderId="0" applyFont="0" applyFill="0" applyBorder="0" applyAlignment="0" applyProtection="0"/>
  </cellStyleXfs>
  <cellXfs count="129">
    <xf numFmtId="0" fontId="0" fillId="0" borderId="0" xfId="0"/>
    <xf numFmtId="0" fontId="5" fillId="0" borderId="0" xfId="0" applyFont="1"/>
    <xf numFmtId="0" fontId="4" fillId="0" borderId="0" xfId="0" applyFont="1" applyAlignment="1">
      <alignment horizontal="left" vertical="center"/>
    </xf>
    <xf numFmtId="0" fontId="6" fillId="0" borderId="0" xfId="0" applyFont="1" applyAlignment="1">
      <alignment horizontal="left" vertical="center" wrapText="1"/>
    </xf>
    <xf numFmtId="164" fontId="8" fillId="0" borderId="0" xfId="0" applyNumberFormat="1" applyFont="1" applyAlignment="1">
      <alignment horizontal="center" vertical="center"/>
    </xf>
    <xf numFmtId="165" fontId="8" fillId="0" borderId="0" xfId="0" applyNumberFormat="1" applyFont="1" applyAlignment="1">
      <alignment horizontal="center" vertical="center"/>
    </xf>
    <xf numFmtId="1" fontId="8" fillId="0" borderId="0" xfId="0" applyNumberFormat="1" applyFont="1" applyAlignment="1">
      <alignment horizontal="center" vertical="center"/>
    </xf>
    <xf numFmtId="166" fontId="8" fillId="0" borderId="0" xfId="0" applyNumberFormat="1" applyFont="1" applyAlignment="1">
      <alignment horizontal="center" vertical="center"/>
    </xf>
    <xf numFmtId="167" fontId="8" fillId="0" borderId="0" xfId="0" applyNumberFormat="1" applyFont="1" applyAlignment="1">
      <alignment horizontal="center" vertical="center"/>
    </xf>
    <xf numFmtId="168" fontId="8" fillId="0" borderId="0" xfId="0" applyNumberFormat="1" applyFont="1" applyAlignment="1">
      <alignment horizontal="center" vertical="center"/>
    </xf>
    <xf numFmtId="15" fontId="13" fillId="0" borderId="0" xfId="0" applyNumberFormat="1" applyFont="1" applyAlignment="1">
      <alignment horizontal="left" vertical="center"/>
    </xf>
    <xf numFmtId="0" fontId="13" fillId="0" borderId="0" xfId="0" applyFont="1" applyAlignment="1">
      <alignment horizontal="right" vertical="center"/>
    </xf>
    <xf numFmtId="0" fontId="11" fillId="6" borderId="0" xfId="0" applyFont="1" applyFill="1" applyAlignment="1">
      <alignment horizontal="left" vertical="center"/>
    </xf>
    <xf numFmtId="0" fontId="11" fillId="6" borderId="0" xfId="0" applyFont="1" applyFill="1" applyAlignment="1">
      <alignment horizontal="right" vertical="center"/>
    </xf>
    <xf numFmtId="170" fontId="8" fillId="0" borderId="0" xfId="0" applyNumberFormat="1" applyFont="1" applyAlignment="1">
      <alignment horizontal="center" vertical="center"/>
    </xf>
    <xf numFmtId="0" fontId="6" fillId="0" borderId="0" xfId="0" applyFont="1" applyAlignment="1">
      <alignment vertical="center" wrapText="1"/>
    </xf>
    <xf numFmtId="0" fontId="14" fillId="0" borderId="0" xfId="3" applyFont="1" applyFill="1" applyAlignment="1">
      <alignment horizontal="left" vertical="center"/>
    </xf>
    <xf numFmtId="0" fontId="4" fillId="3" borderId="0" xfId="0" applyFont="1" applyFill="1" applyAlignment="1">
      <alignment horizontal="left" vertical="center"/>
    </xf>
    <xf numFmtId="0" fontId="6" fillId="3" borderId="0" xfId="0" applyFont="1" applyFill="1" applyAlignment="1">
      <alignment horizontal="left" vertical="center" wrapText="1"/>
    </xf>
    <xf numFmtId="168" fontId="4" fillId="3" borderId="0" xfId="0" applyNumberFormat="1" applyFont="1" applyFill="1" applyAlignment="1">
      <alignment horizontal="center" vertical="center"/>
    </xf>
    <xf numFmtId="0" fontId="16" fillId="8" borderId="0" xfId="0" applyFont="1" applyFill="1" applyAlignment="1">
      <alignment wrapText="1"/>
    </xf>
    <xf numFmtId="0" fontId="5" fillId="0" borderId="7" xfId="0" applyFont="1" applyBorder="1" applyAlignment="1">
      <alignment vertical="center" wrapText="1"/>
    </xf>
    <xf numFmtId="0" fontId="3" fillId="7" borderId="0" xfId="0" applyFont="1" applyFill="1" applyAlignment="1">
      <alignment horizontal="center" vertical="center"/>
    </xf>
    <xf numFmtId="0" fontId="6" fillId="0" borderId="0" xfId="0" applyFont="1" applyAlignment="1">
      <alignment horizontal="left" vertical="center"/>
    </xf>
    <xf numFmtId="0" fontId="15" fillId="0" borderId="0" xfId="0" applyFont="1" applyAlignment="1">
      <alignment horizontal="left" vertical="center"/>
    </xf>
    <xf numFmtId="165" fontId="15" fillId="0" borderId="0" xfId="0" applyNumberFormat="1" applyFont="1" applyAlignment="1">
      <alignment horizontal="center" vertical="center"/>
    </xf>
    <xf numFmtId="0" fontId="3" fillId="0" borderId="0" xfId="0" applyFont="1" applyAlignment="1">
      <alignment vertical="center"/>
    </xf>
    <xf numFmtId="0" fontId="4" fillId="0" borderId="0" xfId="0" applyFont="1" applyAlignment="1">
      <alignment horizontal="center" vertical="center"/>
    </xf>
    <xf numFmtId="170" fontId="4" fillId="0" borderId="0" xfId="0" applyNumberFormat="1" applyFont="1" applyAlignment="1">
      <alignment horizontal="center" vertical="center"/>
    </xf>
    <xf numFmtId="3" fontId="4" fillId="0" borderId="0" xfId="0" applyNumberFormat="1" applyFont="1" applyAlignment="1">
      <alignment horizontal="center" vertical="center"/>
    </xf>
    <xf numFmtId="168" fontId="4" fillId="0" borderId="0" xfId="0" applyNumberFormat="1" applyFont="1" applyAlignment="1">
      <alignment horizontal="center" vertical="center"/>
    </xf>
    <xf numFmtId="167" fontId="4" fillId="0" borderId="0" xfId="0" applyNumberFormat="1" applyFont="1" applyAlignment="1">
      <alignment horizontal="center" vertical="center"/>
    </xf>
    <xf numFmtId="0" fontId="15" fillId="0" borderId="0" xfId="0" applyFont="1" applyAlignment="1">
      <alignment horizontal="center" vertical="center"/>
    </xf>
    <xf numFmtId="170" fontId="15" fillId="0" borderId="0" xfId="0" applyNumberFormat="1" applyFont="1" applyAlignment="1">
      <alignment horizontal="center" vertical="center"/>
    </xf>
    <xf numFmtId="167" fontId="15" fillId="0" borderId="0" xfId="0" applyNumberFormat="1" applyFont="1" applyAlignment="1">
      <alignment horizontal="center" vertical="center"/>
    </xf>
    <xf numFmtId="10" fontId="8" fillId="0" borderId="5" xfId="2" applyNumberFormat="1" applyFont="1" applyBorder="1" applyAlignment="1">
      <alignment horizontal="right"/>
    </xf>
    <xf numFmtId="10" fontId="8" fillId="0" borderId="6" xfId="2" applyNumberFormat="1" applyFont="1" applyBorder="1" applyAlignment="1">
      <alignment horizontal="right"/>
    </xf>
    <xf numFmtId="0" fontId="11" fillId="6" borderId="1" xfId="0" applyFont="1" applyFill="1" applyBorder="1" applyAlignment="1">
      <alignment horizontal="right"/>
    </xf>
    <xf numFmtId="0" fontId="11" fillId="6" borderId="2" xfId="0" applyFont="1" applyFill="1" applyBorder="1" applyAlignment="1">
      <alignment horizontal="right"/>
    </xf>
    <xf numFmtId="0" fontId="11" fillId="6" borderId="1" xfId="0" applyFont="1" applyFill="1" applyBorder="1"/>
    <xf numFmtId="0" fontId="5" fillId="0" borderId="2" xfId="0" applyFont="1" applyBorder="1"/>
    <xf numFmtId="0" fontId="11" fillId="6" borderId="5" xfId="0" applyFont="1" applyFill="1" applyBorder="1"/>
    <xf numFmtId="0" fontId="5" fillId="0" borderId="6" xfId="0" applyFont="1" applyBorder="1"/>
    <xf numFmtId="10" fontId="5" fillId="0" borderId="0" xfId="8" applyNumberFormat="1" applyFont="1"/>
    <xf numFmtId="0" fontId="15" fillId="11" borderId="0" xfId="0" applyFont="1" applyFill="1" applyAlignment="1">
      <alignment horizontal="center" vertical="center" wrapText="1"/>
    </xf>
    <xf numFmtId="0" fontId="15" fillId="12" borderId="0" xfId="0" applyFont="1" applyFill="1" applyAlignment="1">
      <alignment horizontal="center" vertical="center" wrapText="1"/>
    </xf>
    <xf numFmtId="0" fontId="15" fillId="13" borderId="0" xfId="0" applyFont="1" applyFill="1" applyAlignment="1">
      <alignment horizontal="center" vertical="center" wrapText="1"/>
    </xf>
    <xf numFmtId="0" fontId="15" fillId="14" borderId="0" xfId="0" applyFont="1" applyFill="1" applyAlignment="1">
      <alignment horizontal="center" vertical="center" wrapText="1"/>
    </xf>
    <xf numFmtId="43" fontId="8" fillId="0" borderId="0" xfId="1" applyFont="1" applyAlignment="1">
      <alignment horizontal="right" vertical="center" wrapText="1"/>
    </xf>
    <xf numFmtId="0" fontId="16" fillId="8" borderId="0" xfId="0" applyFont="1" applyFill="1" applyAlignment="1">
      <alignment horizontal="center"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4" fillId="0" borderId="0" xfId="0" applyFont="1" applyAlignment="1">
      <alignment horizontal="righ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18" fillId="7" borderId="0" xfId="0" applyFont="1" applyFill="1" applyAlignment="1">
      <alignment horizontal="left" vertical="center" wrapText="1"/>
    </xf>
    <xf numFmtId="0" fontId="19" fillId="0" borderId="0" xfId="0" applyFont="1"/>
    <xf numFmtId="0" fontId="7" fillId="15" borderId="8" xfId="0" applyFont="1" applyFill="1" applyBorder="1" applyAlignment="1">
      <alignment horizontal="left" vertical="center"/>
    </xf>
    <xf numFmtId="9" fontId="4" fillId="0" borderId="0" xfId="0" applyNumberFormat="1" applyFont="1" applyAlignment="1">
      <alignment horizontal="center" vertical="center"/>
    </xf>
    <xf numFmtId="0" fontId="4" fillId="0" borderId="0" xfId="0" applyFont="1" applyAlignment="1">
      <alignment horizontal="center" vertical="top" wrapText="1"/>
    </xf>
    <xf numFmtId="0" fontId="15" fillId="0" borderId="0" xfId="0" applyFont="1" applyAlignment="1">
      <alignment horizontal="left" vertical="center" wrapText="1"/>
    </xf>
    <xf numFmtId="171" fontId="8" fillId="0" borderId="0" xfId="2" applyNumberFormat="1" applyFont="1" applyAlignment="1">
      <alignment horizontal="right" vertical="center" wrapText="1"/>
    </xf>
    <xf numFmtId="172" fontId="8" fillId="0" borderId="0" xfId="0" applyNumberFormat="1" applyFont="1" applyAlignment="1">
      <alignment horizontal="center" vertical="center"/>
    </xf>
    <xf numFmtId="169" fontId="8" fillId="0" borderId="0" xfId="1" applyNumberFormat="1" applyFont="1" applyAlignment="1">
      <alignment horizontal="center" vertical="center"/>
    </xf>
    <xf numFmtId="0" fontId="15" fillId="9" borderId="1" xfId="0" applyFont="1" applyFill="1" applyBorder="1" applyAlignment="1">
      <alignment horizontal="left" vertical="center"/>
    </xf>
    <xf numFmtId="167" fontId="15" fillId="9" borderId="2" xfId="0" applyNumberFormat="1" applyFont="1" applyFill="1" applyBorder="1" applyAlignment="1">
      <alignment horizontal="center" vertical="center"/>
    </xf>
    <xf numFmtId="0" fontId="4" fillId="0" borderId="3" xfId="0" applyFont="1" applyBorder="1" applyAlignment="1">
      <alignment horizontal="left" vertical="center"/>
    </xf>
    <xf numFmtId="167" fontId="4" fillId="0" borderId="4" xfId="0" applyNumberFormat="1" applyFont="1" applyBorder="1" applyAlignment="1">
      <alignment horizontal="center" vertical="center"/>
    </xf>
    <xf numFmtId="0" fontId="4" fillId="0" borderId="5" xfId="0" applyFont="1" applyBorder="1" applyAlignment="1">
      <alignment horizontal="left" vertical="center"/>
    </xf>
    <xf numFmtId="165" fontId="4" fillId="0" borderId="6" xfId="0" applyNumberFormat="1" applyFont="1" applyBorder="1" applyAlignment="1">
      <alignment horizontal="center" vertical="center"/>
    </xf>
    <xf numFmtId="0" fontId="6" fillId="3" borderId="0" xfId="0" applyFont="1" applyFill="1" applyAlignment="1">
      <alignment horizontal="left" vertical="center"/>
    </xf>
    <xf numFmtId="164" fontId="4" fillId="0" borderId="0" xfId="0" applyNumberFormat="1" applyFont="1" applyAlignment="1">
      <alignment horizontal="center" vertical="center"/>
    </xf>
    <xf numFmtId="165" fontId="4" fillId="0" borderId="0" xfId="0" applyNumberFormat="1" applyFont="1" applyAlignment="1">
      <alignment horizontal="center" vertical="center"/>
    </xf>
    <xf numFmtId="0" fontId="21" fillId="0" borderId="0" xfId="0" applyFont="1" applyAlignment="1">
      <alignment horizontal="right"/>
    </xf>
    <xf numFmtId="0" fontId="15" fillId="17" borderId="8" xfId="0" applyFont="1" applyFill="1" applyBorder="1" applyAlignment="1">
      <alignment horizontal="left" vertical="center"/>
    </xf>
    <xf numFmtId="167" fontId="15" fillId="17" borderId="10" xfId="0" applyNumberFormat="1" applyFont="1" applyFill="1" applyBorder="1" applyAlignment="1">
      <alignment horizontal="center" vertical="center"/>
    </xf>
    <xf numFmtId="166" fontId="4" fillId="0" borderId="0" xfId="0" applyNumberFormat="1" applyFont="1" applyAlignment="1">
      <alignment horizontal="center" vertical="center"/>
    </xf>
    <xf numFmtId="0" fontId="3" fillId="7" borderId="0" xfId="0" applyFont="1" applyFill="1" applyAlignment="1">
      <alignment vertical="center"/>
    </xf>
    <xf numFmtId="9" fontId="8" fillId="0" borderId="0" xfId="2" applyFont="1" applyAlignment="1">
      <alignment horizontal="center" vertical="center"/>
    </xf>
    <xf numFmtId="0" fontId="7" fillId="18" borderId="0" xfId="0" applyFont="1" applyFill="1" applyAlignment="1">
      <alignment horizontal="left" vertical="center"/>
    </xf>
    <xf numFmtId="0" fontId="7" fillId="18" borderId="0" xfId="0" applyFont="1" applyFill="1" applyAlignment="1">
      <alignment horizontal="center" vertical="center" wrapText="1"/>
    </xf>
    <xf numFmtId="0" fontId="7" fillId="19" borderId="0" xfId="0" applyFont="1" applyFill="1" applyAlignment="1">
      <alignment horizontal="center" vertical="center" wrapText="1"/>
    </xf>
    <xf numFmtId="164" fontId="15" fillId="20" borderId="11" xfId="0" applyNumberFormat="1" applyFont="1" applyFill="1" applyBorder="1" applyAlignment="1">
      <alignment horizontal="center" vertical="center"/>
    </xf>
    <xf numFmtId="0" fontId="3" fillId="0" borderId="0" xfId="0" applyFont="1" applyAlignment="1">
      <alignment horizontal="center" vertical="center"/>
    </xf>
    <xf numFmtId="0" fontId="17" fillId="0" borderId="13" xfId="0" applyFont="1" applyBorder="1" applyAlignment="1">
      <alignment horizontal="center" vertical="center"/>
    </xf>
    <xf numFmtId="174" fontId="8" fillId="0" borderId="0" xfId="1" applyNumberFormat="1" applyFont="1" applyAlignment="1">
      <alignment horizontal="left" vertical="center" wrapText="1"/>
    </xf>
    <xf numFmtId="169" fontId="8" fillId="0" borderId="0" xfId="1" applyNumberFormat="1" applyFont="1"/>
    <xf numFmtId="169" fontId="7" fillId="0" borderId="9" xfId="1" applyNumberFormat="1" applyFont="1" applyBorder="1"/>
    <xf numFmtId="169" fontId="7" fillId="0" borderId="10" xfId="1" applyNumberFormat="1" applyFont="1" applyBorder="1"/>
    <xf numFmtId="173" fontId="8" fillId="9" borderId="0" xfId="2" applyNumberFormat="1" applyFont="1" applyFill="1"/>
    <xf numFmtId="0" fontId="7" fillId="15" borderId="0" xfId="0" applyFont="1" applyFill="1" applyAlignment="1">
      <alignment horizontal="center"/>
    </xf>
    <xf numFmtId="0" fontId="16" fillId="0" borderId="0" xfId="0" applyFont="1"/>
    <xf numFmtId="0" fontId="5" fillId="0" borderId="0" xfId="0" applyFont="1" applyAlignment="1">
      <alignment horizontal="center"/>
    </xf>
    <xf numFmtId="0" fontId="14" fillId="0" borderId="0" xfId="3" applyFont="1" applyAlignment="1">
      <alignment horizontal="center"/>
    </xf>
    <xf numFmtId="0" fontId="16" fillId="8" borderId="0" xfId="0" applyFont="1" applyFill="1"/>
    <xf numFmtId="0" fontId="16" fillId="8" borderId="0" xfId="0" applyFont="1" applyFill="1" applyAlignment="1">
      <alignment horizontal="right"/>
    </xf>
    <xf numFmtId="0" fontId="11" fillId="0" borderId="8" xfId="0" applyFont="1" applyBorder="1"/>
    <xf numFmtId="0" fontId="11" fillId="15" borderId="0" xfId="0" applyFont="1" applyFill="1"/>
    <xf numFmtId="0" fontId="5" fillId="9" borderId="0" xfId="0" applyFont="1" applyFill="1"/>
    <xf numFmtId="0" fontId="11" fillId="0" borderId="0" xfId="0" applyFont="1"/>
    <xf numFmtId="0" fontId="17" fillId="22" borderId="0" xfId="0" applyFont="1" applyFill="1" applyAlignment="1">
      <alignment horizontal="center" vertical="center" wrapText="1"/>
    </xf>
    <xf numFmtId="0" fontId="7" fillId="22" borderId="0" xfId="0" applyFont="1" applyFill="1" applyAlignment="1">
      <alignment horizontal="center" vertical="center" wrapText="1"/>
    </xf>
    <xf numFmtId="0" fontId="7" fillId="22" borderId="0" xfId="0" applyFont="1" applyFill="1" applyAlignment="1">
      <alignment horizontal="right" vertical="center" wrapText="1"/>
    </xf>
    <xf numFmtId="0" fontId="4" fillId="0" borderId="14" xfId="0" applyFont="1" applyBorder="1" applyAlignment="1">
      <alignment horizontal="left" vertical="center"/>
    </xf>
    <xf numFmtId="0" fontId="21" fillId="0" borderId="0" xfId="0" applyFont="1"/>
    <xf numFmtId="10" fontId="22" fillId="0" borderId="0" xfId="2" applyNumberFormat="1" applyFont="1"/>
    <xf numFmtId="0" fontId="3" fillId="2" borderId="0" xfId="0" applyFont="1" applyFill="1" applyAlignment="1">
      <alignment horizontal="center" vertical="center"/>
    </xf>
    <xf numFmtId="0" fontId="7" fillId="5" borderId="0" xfId="0" applyFont="1" applyFill="1" applyAlignment="1">
      <alignment horizontal="left" vertical="center"/>
    </xf>
    <xf numFmtId="0" fontId="11" fillId="15" borderId="12" xfId="0" applyFont="1" applyFill="1" applyBorder="1" applyAlignment="1">
      <alignment horizontal="center"/>
    </xf>
    <xf numFmtId="0" fontId="5" fillId="21" borderId="0" xfId="0" applyFont="1" applyFill="1" applyAlignment="1">
      <alignment horizontal="left" vertical="top" wrapText="1"/>
    </xf>
    <xf numFmtId="0" fontId="6" fillId="0" borderId="0" xfId="0" applyFont="1" applyAlignment="1">
      <alignment horizontal="left" vertical="center" wrapText="1"/>
    </xf>
    <xf numFmtId="0" fontId="3" fillId="7" borderId="0" xfId="0" applyFont="1" applyFill="1" applyAlignment="1">
      <alignment horizontal="center" vertical="center"/>
    </xf>
    <xf numFmtId="0" fontId="7" fillId="16" borderId="0" xfId="0" applyFont="1" applyFill="1" applyAlignment="1">
      <alignment horizontal="left" vertical="center"/>
    </xf>
    <xf numFmtId="0" fontId="6" fillId="4" borderId="0" xfId="0" applyFont="1" applyFill="1" applyAlignment="1">
      <alignment horizontal="left" vertical="center" wrapText="1"/>
    </xf>
    <xf numFmtId="0" fontId="7" fillId="18" borderId="0" xfId="0" applyFont="1" applyFill="1" applyAlignment="1">
      <alignment horizontal="left" vertical="center"/>
    </xf>
    <xf numFmtId="0" fontId="3" fillId="2" borderId="0" xfId="0" applyFont="1" applyFill="1" applyAlignment="1">
      <alignment horizontal="left" vertical="center"/>
    </xf>
    <xf numFmtId="0" fontId="3" fillId="0" borderId="0" xfId="0" applyFont="1" applyAlignment="1">
      <alignment horizontal="center" vertical="center"/>
    </xf>
    <xf numFmtId="0" fontId="3" fillId="7" borderId="0" xfId="0" applyFont="1" applyFill="1" applyAlignment="1">
      <alignment horizontal="left" vertical="center"/>
    </xf>
    <xf numFmtId="0" fontId="4" fillId="0" borderId="14" xfId="0" applyFont="1" applyBorder="1" applyAlignment="1">
      <alignment horizontal="center" vertical="center" wrapText="1"/>
    </xf>
    <xf numFmtId="0" fontId="6" fillId="0" borderId="14" xfId="0" applyFont="1" applyBorder="1" applyAlignment="1">
      <alignment horizontal="left" vertical="center" wrapText="1"/>
    </xf>
    <xf numFmtId="0" fontId="6" fillId="10" borderId="0" xfId="0" applyFont="1" applyFill="1" applyAlignment="1">
      <alignment horizontal="left" vertical="center"/>
    </xf>
    <xf numFmtId="0" fontId="7" fillId="15" borderId="9" xfId="0" applyFont="1" applyFill="1" applyBorder="1" applyAlignment="1">
      <alignment horizontal="center" vertical="center" wrapText="1"/>
    </xf>
    <xf numFmtId="0" fontId="20" fillId="15" borderId="9" xfId="0" applyFont="1" applyFill="1" applyBorder="1" applyAlignment="1">
      <alignment horizontal="left" vertical="center" wrapText="1"/>
    </xf>
    <xf numFmtId="0" fontId="20" fillId="15" borderId="10" xfId="0" applyFont="1" applyFill="1" applyBorder="1" applyAlignment="1">
      <alignment horizontal="left" vertical="center" wrapText="1"/>
    </xf>
    <xf numFmtId="0" fontId="19" fillId="21" borderId="0" xfId="0" applyFont="1" applyFill="1" applyAlignment="1">
      <alignment horizontal="left" wrapText="1"/>
    </xf>
    <xf numFmtId="0" fontId="4" fillId="0" borderId="0" xfId="0" applyFont="1" applyAlignment="1">
      <alignment horizontal="center" vertical="center" wrapText="1"/>
    </xf>
    <xf numFmtId="0" fontId="19" fillId="0" borderId="0" xfId="0" applyFont="1" applyAlignment="1">
      <alignment horizontal="left" vertical="center" wrapText="1"/>
    </xf>
  </cellXfs>
  <cellStyles count="9">
    <cellStyle name="Comma" xfId="1" builtinId="3"/>
    <cellStyle name="Comma 2" xfId="5" xr:uid="{C6C44AE2-2476-47FF-ADEB-FF4B73150DD5}"/>
    <cellStyle name="Hyperlink" xfId="3" builtinId="8"/>
    <cellStyle name="Normal" xfId="0" builtinId="0"/>
    <cellStyle name="Normal 2" xfId="4" xr:uid="{24146F0F-D844-4E67-BE4D-47DE45A2A0F9}"/>
    <cellStyle name="Normal 2 3" xfId="6" xr:uid="{305D7411-4458-4F4E-9203-E7D27D217E9B}"/>
    <cellStyle name="Percent" xfId="2" builtinId="5"/>
    <cellStyle name="Percent 13" xfId="8" xr:uid="{34271D6A-8884-4B57-AE2A-509CC45C7CC8}"/>
    <cellStyle name="Percent 2" xfId="7" xr:uid="{7569B4D9-FD5A-484B-84BF-220C37E9CA1C}"/>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7FB"/>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6E4F0"/>
      <rgbColor rgb="FFE2EFDA"/>
      <rgbColor rgb="FFFFFF99"/>
      <rgbColor rgb="FF99CCFF"/>
      <rgbColor rgb="FFFF99CC"/>
      <rgbColor rgb="FFCC99FF"/>
      <rgbColor rgb="FFFFCC99"/>
      <rgbColor rgb="FF4472C4"/>
      <rgbColor rgb="FF33CCCC"/>
      <rgbColor rgb="FF92D050"/>
      <rgbColor rgb="FFFFCC00"/>
      <rgbColor rgb="FFFF9900"/>
      <rgbColor rgb="FFFF6600"/>
      <rgbColor rgb="FF666699"/>
      <rgbColor rgb="FF70AD47"/>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xdr:row>
      <xdr:rowOff>1</xdr:rowOff>
    </xdr:from>
    <xdr:to>
      <xdr:col>6</xdr:col>
      <xdr:colOff>876300</xdr:colOff>
      <xdr:row>51</xdr:row>
      <xdr:rowOff>6921</xdr:rowOff>
    </xdr:to>
    <xdr:pic>
      <xdr:nvPicPr>
        <xdr:cNvPr id="3" name="Picture 2">
          <a:extLst>
            <a:ext uri="{FF2B5EF4-FFF2-40B4-BE49-F238E27FC236}">
              <a16:creationId xmlns:a16="http://schemas.microsoft.com/office/drawing/2014/main" id="{2D16F215-A7F5-D479-8224-06FD3C0EA13F}"/>
            </a:ext>
          </a:extLst>
        </xdr:cNvPr>
        <xdr:cNvPicPr>
          <a:picLocks noChangeAspect="1"/>
        </xdr:cNvPicPr>
      </xdr:nvPicPr>
      <xdr:blipFill>
        <a:blip xmlns:r="http://schemas.openxmlformats.org/officeDocument/2006/relationships" r:embed="rId1"/>
        <a:stretch>
          <a:fillRect/>
        </a:stretch>
      </xdr:blipFill>
      <xdr:spPr>
        <a:xfrm>
          <a:off x="137160" y="7437121"/>
          <a:ext cx="6865620" cy="38474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472439</xdr:colOff>
      <xdr:row>13</xdr:row>
      <xdr:rowOff>134920</xdr:rowOff>
    </xdr:to>
    <xdr:pic>
      <xdr:nvPicPr>
        <xdr:cNvPr id="3" name="Picture 2">
          <a:extLst>
            <a:ext uri="{FF2B5EF4-FFF2-40B4-BE49-F238E27FC236}">
              <a16:creationId xmlns:a16="http://schemas.microsoft.com/office/drawing/2014/main" id="{A01D0826-7A87-84A3-1B36-7941954148FF}"/>
            </a:ext>
          </a:extLst>
        </xdr:cNvPr>
        <xdr:cNvPicPr>
          <a:picLocks noChangeAspect="1"/>
        </xdr:cNvPicPr>
      </xdr:nvPicPr>
      <xdr:blipFill>
        <a:blip xmlns:r="http://schemas.openxmlformats.org/officeDocument/2006/relationships" r:embed="rId1"/>
        <a:stretch>
          <a:fillRect/>
        </a:stretch>
      </xdr:blipFill>
      <xdr:spPr>
        <a:xfrm>
          <a:off x="0" y="0"/>
          <a:ext cx="7787639" cy="2512360"/>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ir.cytokinetics.com/press-releases/press-release-details/2025/Cytokinetics-Announces-Pricing-of-Upsized-650-0-Million-Convertible-Senior-Notes-Offering-Refinances-a-Portion-of-2027-Convertible-Notes/default.aspx" TargetMode="External"/><Relationship Id="rId1" Type="http://schemas.openxmlformats.org/officeDocument/2006/relationships/hyperlink" Target="https://ir.cytokinetics.com/press-releases/press-release-details/2025/Cytokinetics-Announces-Pricing-of-Upsized-650-0-Million-Convertible-Senior-Notes-Offering-Refinances-a-Portion-of-2027-Convertible-Notes/default.aspx"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1EE3-00FB-4A23-B51F-3B0E865DFB5B}">
  <dimension ref="B1:I25"/>
  <sheetViews>
    <sheetView showGridLines="0" workbookViewId="0">
      <selection activeCell="C8" sqref="C8"/>
    </sheetView>
  </sheetViews>
  <sheetFormatPr defaultRowHeight="14.4" x14ac:dyDescent="0.35"/>
  <cols>
    <col min="1" max="1" width="8.88671875" style="1"/>
    <col min="2" max="2" width="5.6640625" style="1" bestFit="1" customWidth="1"/>
    <col min="3" max="3" width="79.109375" style="1" customWidth="1"/>
    <col min="4" max="4" width="56.21875" style="1" customWidth="1"/>
    <col min="5" max="16384" width="8.88671875" style="1"/>
  </cols>
  <sheetData>
    <row r="1" spans="2:4" x14ac:dyDescent="0.35">
      <c r="B1" s="108" t="s">
        <v>280</v>
      </c>
      <c r="C1" s="108"/>
      <c r="D1" s="26"/>
    </row>
    <row r="2" spans="2:4" x14ac:dyDescent="0.35">
      <c r="B2" s="92" t="s">
        <v>285</v>
      </c>
      <c r="C2" s="92" t="s">
        <v>266</v>
      </c>
      <c r="D2" s="93"/>
    </row>
    <row r="3" spans="2:4" x14ac:dyDescent="0.35">
      <c r="B3" s="94" cm="1">
        <f t="array" ref="B3:B12">_xlfn.SEQUENCE(COUNTA(C3:C16))</f>
        <v>1</v>
      </c>
      <c r="C3" s="95" t="s">
        <v>284</v>
      </c>
    </row>
    <row r="4" spans="2:4" x14ac:dyDescent="0.35">
      <c r="B4" s="94">
        <v>2</v>
      </c>
      <c r="C4" s="95" t="s">
        <v>299</v>
      </c>
    </row>
    <row r="5" spans="2:4" x14ac:dyDescent="0.35">
      <c r="B5" s="94">
        <v>3</v>
      </c>
      <c r="C5" s="95" t="s">
        <v>286</v>
      </c>
    </row>
    <row r="6" spans="2:4" x14ac:dyDescent="0.35">
      <c r="B6" s="94">
        <v>4</v>
      </c>
      <c r="C6" s="95" t="s">
        <v>287</v>
      </c>
    </row>
    <row r="7" spans="2:4" x14ac:dyDescent="0.35">
      <c r="B7" s="94">
        <v>5</v>
      </c>
      <c r="C7" s="95" t="s">
        <v>271</v>
      </c>
    </row>
    <row r="8" spans="2:4" x14ac:dyDescent="0.35">
      <c r="B8" s="94">
        <v>6</v>
      </c>
      <c r="C8" s="95" t="s">
        <v>50</v>
      </c>
    </row>
    <row r="9" spans="2:4" x14ac:dyDescent="0.35">
      <c r="B9" s="94">
        <v>7</v>
      </c>
      <c r="C9" s="95" t="s">
        <v>288</v>
      </c>
    </row>
    <row r="10" spans="2:4" x14ac:dyDescent="0.35">
      <c r="B10" s="94">
        <v>8</v>
      </c>
      <c r="C10" s="95" t="s">
        <v>76</v>
      </c>
    </row>
    <row r="11" spans="2:4" x14ac:dyDescent="0.35">
      <c r="B11" s="94">
        <v>9</v>
      </c>
      <c r="C11" s="95" t="s">
        <v>75</v>
      </c>
    </row>
    <row r="12" spans="2:4" x14ac:dyDescent="0.35">
      <c r="B12" s="94">
        <v>10</v>
      </c>
      <c r="C12" s="95" t="s">
        <v>294</v>
      </c>
    </row>
    <row r="25" spans="9:9" x14ac:dyDescent="0.35">
      <c r="I25" s="1" t="s">
        <v>289</v>
      </c>
    </row>
  </sheetData>
  <mergeCells count="1">
    <mergeCell ref="B1:C1"/>
  </mergeCells>
  <hyperlinks>
    <hyperlink ref="C3" location="'Valuation Summary'!A1" display="Valuation Summary" xr:uid="{3DA01F90-7A53-4F6F-862E-D288FEF51A4D}"/>
    <hyperlink ref="C11" location="'Comps '!A1" display="Comparable Companies" xr:uid="{744BFAB0-7BBD-4AAB-8D02-8EEAF46C3ED0}"/>
    <hyperlink ref="C12" location="References!A1" display="References" xr:uid="{7D4F706D-673E-47A2-991D-0C84AEA2C43A}"/>
    <hyperlink ref="C10" location="'Credit Rating'!A1" display="Credit Rating" xr:uid="{CA945050-ADDB-4B46-8E17-466D201FDA14}"/>
    <hyperlink ref="C9" location="'Key Financials'!A1" display="Key Financials" xr:uid="{B3EEDBC5-B81A-4E60-AE4A-8FA4DFB69883}"/>
    <hyperlink ref="C8" location="Volatility!A1" display="Volatility" xr:uid="{29F46BA7-9EDD-458C-9306-AD7B07378097}"/>
    <hyperlink ref="C7" location="Binomial_Model!A1" display="Binomial Model" xr:uid="{270E4B9D-0C87-47C7-AE30-5A68DC81A551}"/>
    <hyperlink ref="C6" location="'BSM Model'!A1" display="BSM Model" xr:uid="{5950AE4D-4860-407C-BB97-3CCCD85F24A5}"/>
    <hyperlink ref="C5" location="'Straight Bond'!A1" display="Straight Bond" xr:uid="{DC595540-7EED-4789-8FC3-374F66AD6B33}"/>
    <hyperlink ref="C4" location="Assumptions!A1" display="Assumptions" xr:uid="{3D2F6D48-7653-40EC-80F1-EF287A27CC8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F45D5-A34A-4567-ADB7-030A061AEB15}">
  <dimension ref="B2:D13"/>
  <sheetViews>
    <sheetView showGridLines="0" zoomScaleNormal="100" workbookViewId="0"/>
  </sheetViews>
  <sheetFormatPr defaultRowHeight="14.4" x14ac:dyDescent="0.35"/>
  <cols>
    <col min="1" max="1" width="8.88671875" style="1"/>
    <col min="2" max="2" width="42.33203125" style="1" bestFit="1" customWidth="1"/>
    <col min="3" max="4" width="20.77734375" style="1" customWidth="1"/>
    <col min="5" max="16384" width="8.88671875" style="1"/>
  </cols>
  <sheetData>
    <row r="2" spans="2:4" x14ac:dyDescent="0.35">
      <c r="B2" s="108" t="s">
        <v>280</v>
      </c>
      <c r="C2" s="108"/>
      <c r="D2" s="108"/>
    </row>
    <row r="3" spans="2:4" x14ac:dyDescent="0.35">
      <c r="D3" s="75" t="s">
        <v>269</v>
      </c>
    </row>
    <row r="4" spans="2:4" x14ac:dyDescent="0.35">
      <c r="B4" s="96" t="s">
        <v>266</v>
      </c>
      <c r="C4" s="97" t="s">
        <v>270</v>
      </c>
      <c r="D4" s="97" t="s">
        <v>271</v>
      </c>
    </row>
    <row r="5" spans="2:4" x14ac:dyDescent="0.35">
      <c r="B5" s="1" t="s">
        <v>265</v>
      </c>
      <c r="C5" s="88">
        <f>('Straight Bond'!C33*'Assumptions and Terms'!C16)/(10^6)</f>
        <v>570.73231669011375</v>
      </c>
      <c r="D5" s="88">
        <f>('Straight Bond'!C33*'Assumptions and Terms'!C16)/(10^6)</f>
        <v>570.73231669011375</v>
      </c>
    </row>
    <row r="6" spans="2:4" ht="15" thickBot="1" x14ac:dyDescent="0.4">
      <c r="B6" s="1" t="s">
        <v>267</v>
      </c>
      <c r="C6" s="88">
        <f>(BSM!C20*'Assumptions and Terms'!C16)/(10^6)</f>
        <v>472.13872193029096</v>
      </c>
      <c r="D6" s="88">
        <f>((Binomial!C59)*'Assumptions and Terms'!C16)/(10^6)</f>
        <v>425.13705080054694</v>
      </c>
    </row>
    <row r="7" spans="2:4" ht="15" thickBot="1" x14ac:dyDescent="0.4">
      <c r="B7" s="98" t="s">
        <v>268</v>
      </c>
      <c r="C7" s="89">
        <f>SUM(C5:C6)</f>
        <v>1042.8710386204048</v>
      </c>
      <c r="D7" s="90">
        <f>SUM(D5:D6)</f>
        <v>995.86936749066069</v>
      </c>
    </row>
    <row r="8" spans="2:4" x14ac:dyDescent="0.35">
      <c r="B8" s="99" t="s">
        <v>310</v>
      </c>
      <c r="C8" s="110">
        <v>957.1</v>
      </c>
      <c r="D8" s="110"/>
    </row>
    <row r="9" spans="2:4" x14ac:dyDescent="0.35">
      <c r="B9" s="100" t="s">
        <v>273</v>
      </c>
      <c r="C9" s="91">
        <f>C7/C8-1</f>
        <v>8.961554552335671E-2</v>
      </c>
      <c r="D9" s="91">
        <f>D7/C8-1</f>
        <v>4.0507123070379958E-2</v>
      </c>
    </row>
    <row r="10" spans="2:4" x14ac:dyDescent="0.35">
      <c r="B10" s="106" t="s">
        <v>320</v>
      </c>
      <c r="C10" s="106"/>
      <c r="D10" s="107">
        <f>C7/D7-1</f>
        <v>4.7196623035184126E-2</v>
      </c>
    </row>
    <row r="12" spans="2:4" x14ac:dyDescent="0.35">
      <c r="B12" s="101" t="s">
        <v>295</v>
      </c>
    </row>
    <row r="13" spans="2:4" ht="105" customHeight="1" x14ac:dyDescent="0.35">
      <c r="B13" s="111" t="s">
        <v>296</v>
      </c>
      <c r="C13" s="111"/>
      <c r="D13" s="111"/>
    </row>
  </sheetData>
  <mergeCells count="3">
    <mergeCell ref="C8:D8"/>
    <mergeCell ref="B2:D2"/>
    <mergeCell ref="B13: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29"/>
  <sheetViews>
    <sheetView showGridLines="0" zoomScale="94" zoomScaleNormal="100" workbookViewId="0">
      <selection activeCell="B3" sqref="B3"/>
    </sheetView>
  </sheetViews>
  <sheetFormatPr defaultColWidth="8.6640625" defaultRowHeight="14.4" x14ac:dyDescent="0.35"/>
  <cols>
    <col min="1" max="1" width="2" style="1" customWidth="1"/>
    <col min="2" max="2" width="38" style="1" customWidth="1"/>
    <col min="3" max="3" width="16" style="1" customWidth="1"/>
    <col min="4" max="4" width="80.88671875" style="1" customWidth="1"/>
    <col min="5" max="16384" width="8.6640625" style="1"/>
  </cols>
  <sheetData>
    <row r="2" spans="2:13" x14ac:dyDescent="0.35">
      <c r="B2" s="108" t="s">
        <v>280</v>
      </c>
      <c r="C2" s="108"/>
      <c r="D2" s="108"/>
    </row>
    <row r="3" spans="2:13" ht="3.75" customHeight="1" x14ac:dyDescent="0.35"/>
    <row r="4" spans="2:13" ht="19.5" customHeight="1" x14ac:dyDescent="0.35">
      <c r="B4" s="109" t="s">
        <v>40</v>
      </c>
      <c r="C4" s="109"/>
      <c r="D4" s="109"/>
    </row>
    <row r="5" spans="2:13" ht="19.5" customHeight="1" x14ac:dyDescent="0.35">
      <c r="B5" s="2" t="s">
        <v>73</v>
      </c>
      <c r="C5" s="4">
        <v>750</v>
      </c>
      <c r="D5" s="16" t="s">
        <v>42</v>
      </c>
    </row>
    <row r="6" spans="2:13" ht="19.5" customHeight="1" x14ac:dyDescent="0.35">
      <c r="B6" s="2" t="s">
        <v>109</v>
      </c>
      <c r="C6" s="4">
        <v>1000</v>
      </c>
      <c r="D6" s="3"/>
    </row>
    <row r="7" spans="2:13" ht="19.5" customHeight="1" x14ac:dyDescent="0.35">
      <c r="B7" s="2" t="s">
        <v>39</v>
      </c>
      <c r="C7" s="5">
        <v>1.7500000000000002E-2</v>
      </c>
      <c r="D7" s="3" t="s">
        <v>38</v>
      </c>
    </row>
    <row r="8" spans="2:13" ht="19.5" customHeight="1" x14ac:dyDescent="0.35">
      <c r="B8" s="2" t="s">
        <v>0</v>
      </c>
      <c r="C8" s="6">
        <v>2</v>
      </c>
      <c r="D8" s="3" t="s">
        <v>1</v>
      </c>
    </row>
    <row r="9" spans="2:13" ht="19.5" customHeight="1" x14ac:dyDescent="0.35">
      <c r="B9" s="2" t="s">
        <v>45</v>
      </c>
      <c r="C9" s="14">
        <v>45916</v>
      </c>
      <c r="D9" s="15" t="s">
        <v>133</v>
      </c>
      <c r="E9" s="15"/>
      <c r="F9" s="15"/>
      <c r="G9" s="15"/>
      <c r="H9" s="15"/>
      <c r="I9" s="15"/>
      <c r="J9" s="15"/>
      <c r="K9" s="15"/>
      <c r="L9" s="15"/>
      <c r="M9" s="15"/>
    </row>
    <row r="10" spans="2:13" ht="19.5" customHeight="1" x14ac:dyDescent="0.35">
      <c r="B10" s="2" t="s">
        <v>36</v>
      </c>
      <c r="C10" s="14">
        <v>46179</v>
      </c>
      <c r="D10" s="3"/>
    </row>
    <row r="11" spans="2:13" ht="19.5" customHeight="1" x14ac:dyDescent="0.35">
      <c r="B11" s="2" t="s">
        <v>37</v>
      </c>
      <c r="C11" s="14">
        <v>48122</v>
      </c>
      <c r="D11" s="3"/>
    </row>
    <row r="12" spans="2:13" ht="19.5" customHeight="1" x14ac:dyDescent="0.35">
      <c r="B12" s="2" t="s">
        <v>2</v>
      </c>
      <c r="C12" s="7">
        <f>(C11-C10)/365</f>
        <v>5.3232876712328769</v>
      </c>
      <c r="D12" s="3"/>
    </row>
    <row r="13" spans="2:13" ht="19.5" customHeight="1" x14ac:dyDescent="0.35">
      <c r="B13" s="2" t="s">
        <v>110</v>
      </c>
      <c r="C13" s="8">
        <v>68.42</v>
      </c>
      <c r="D13" s="23" t="s">
        <v>321</v>
      </c>
    </row>
    <row r="14" spans="2:13" ht="19.5" customHeight="1" x14ac:dyDescent="0.35">
      <c r="B14" s="2" t="s">
        <v>111</v>
      </c>
      <c r="C14" s="8">
        <v>49.76</v>
      </c>
      <c r="D14" s="16" t="s">
        <v>42</v>
      </c>
    </row>
    <row r="15" spans="2:13" ht="19.5" customHeight="1" x14ac:dyDescent="0.35">
      <c r="B15" s="2" t="s">
        <v>41</v>
      </c>
      <c r="C15" s="9">
        <f>C6/C13</f>
        <v>14.615609470914936</v>
      </c>
      <c r="D15" s="3"/>
    </row>
    <row r="16" spans="2:13" ht="19.5" customHeight="1" x14ac:dyDescent="0.35">
      <c r="B16" s="2" t="s">
        <v>217</v>
      </c>
      <c r="C16" s="64">
        <f>C5*10^6/C6</f>
        <v>750000</v>
      </c>
      <c r="D16" s="3"/>
    </row>
    <row r="17" spans="2:4" ht="3.75" customHeight="1" x14ac:dyDescent="0.35"/>
    <row r="18" spans="2:4" ht="19.5" customHeight="1" x14ac:dyDescent="0.35">
      <c r="B18" s="109" t="s">
        <v>44</v>
      </c>
      <c r="C18" s="109"/>
      <c r="D18" s="109"/>
    </row>
    <row r="19" spans="2:4" ht="19.5" customHeight="1" x14ac:dyDescent="0.35">
      <c r="B19" s="2" t="s">
        <v>3</v>
      </c>
      <c r="C19" s="5">
        <v>4.4699999999999997E-2</v>
      </c>
      <c r="D19" s="3" t="s">
        <v>43</v>
      </c>
    </row>
    <row r="20" spans="2:4" ht="19.5" customHeight="1" x14ac:dyDescent="0.35">
      <c r="B20" s="2" t="s">
        <v>4</v>
      </c>
      <c r="C20" s="5">
        <f>'Straight Bond'!C16</f>
        <v>2.98E-2</v>
      </c>
      <c r="D20" s="3" t="s">
        <v>300</v>
      </c>
    </row>
    <row r="21" spans="2:4" ht="19.5" customHeight="1" x14ac:dyDescent="0.35">
      <c r="B21" s="2" t="s">
        <v>5</v>
      </c>
      <c r="C21" s="5">
        <f>Volatility!G3</f>
        <v>0.63884308243488064</v>
      </c>
      <c r="D21" s="3" t="s">
        <v>301</v>
      </c>
    </row>
    <row r="22" spans="2:4" ht="19.5" customHeight="1" x14ac:dyDescent="0.35">
      <c r="B22" s="2" t="s">
        <v>6</v>
      </c>
      <c r="C22" s="5">
        <v>0</v>
      </c>
      <c r="D22" s="3" t="s">
        <v>7</v>
      </c>
    </row>
    <row r="23" spans="2:4" ht="19.5" customHeight="1" x14ac:dyDescent="0.35">
      <c r="B23" s="2" t="s">
        <v>134</v>
      </c>
      <c r="C23" s="8">
        <f>Volatility!C3</f>
        <v>71.48</v>
      </c>
      <c r="D23" s="3" t="s">
        <v>135</v>
      </c>
    </row>
    <row r="24" spans="2:4" ht="3.75" customHeight="1" x14ac:dyDescent="0.35"/>
    <row r="25" spans="2:4" ht="19.5" customHeight="1" x14ac:dyDescent="0.35">
      <c r="B25" s="109" t="s">
        <v>302</v>
      </c>
      <c r="C25" s="109"/>
      <c r="D25" s="109"/>
    </row>
    <row r="26" spans="2:4" ht="19.5" customHeight="1" x14ac:dyDescent="0.35">
      <c r="B26" s="2" t="s">
        <v>311</v>
      </c>
      <c r="C26" s="5">
        <f>'Straight Bond'!C18</f>
        <v>7.4574500000000002E-2</v>
      </c>
      <c r="D26" s="3"/>
    </row>
    <row r="27" spans="2:4" ht="19.5" customHeight="1" x14ac:dyDescent="0.35">
      <c r="B27" s="2" t="s">
        <v>8</v>
      </c>
      <c r="C27" s="8">
        <f>C6*C7/C8</f>
        <v>8.75</v>
      </c>
      <c r="D27" s="3"/>
    </row>
    <row r="28" spans="2:4" ht="19.5" customHeight="1" x14ac:dyDescent="0.35">
      <c r="B28" s="2" t="s">
        <v>9</v>
      </c>
      <c r="C28" s="7">
        <f>C12*C8</f>
        <v>10.646575342465754</v>
      </c>
      <c r="D28" s="3"/>
    </row>
    <row r="29" spans="2:4" ht="19.5" customHeight="1" x14ac:dyDescent="0.35">
      <c r="B29" s="2" t="s">
        <v>10</v>
      </c>
      <c r="C29" s="6">
        <v>11</v>
      </c>
      <c r="D29" s="3"/>
    </row>
  </sheetData>
  <mergeCells count="4">
    <mergeCell ref="B2:D2"/>
    <mergeCell ref="B4:D4"/>
    <mergeCell ref="B18:D18"/>
    <mergeCell ref="B25:D25"/>
  </mergeCells>
  <hyperlinks>
    <hyperlink ref="D5" r:id="rId1" xr:uid="{A9F84BF5-6D32-4C5E-96A2-ED4506BD1A9A}"/>
    <hyperlink ref="D14" r:id="rId2" xr:uid="{DFDA45AE-9DFA-40D8-8C8E-140A12C62A54}"/>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DCA1-A679-4BE6-B270-1DA4FCCBFCCB}">
  <dimension ref="B2:M36"/>
  <sheetViews>
    <sheetView showGridLines="0" topLeftCell="A7" workbookViewId="0">
      <selection activeCell="C33" sqref="C33"/>
    </sheetView>
  </sheetViews>
  <sheetFormatPr defaultRowHeight="14.4" x14ac:dyDescent="0.35"/>
  <cols>
    <col min="1" max="1" width="8.88671875" style="1"/>
    <col min="2" max="2" width="32.88671875" style="1" customWidth="1"/>
    <col min="3" max="3" width="15.44140625" style="1" bestFit="1" customWidth="1"/>
    <col min="4" max="4" width="20.21875" style="1" customWidth="1"/>
    <col min="5" max="5" width="21.77734375" style="1" customWidth="1"/>
    <col min="6" max="6" width="29.77734375" style="1" customWidth="1"/>
    <col min="7" max="7" width="12.5546875" style="1" bestFit="1" customWidth="1"/>
    <col min="8" max="10" width="12" style="1" bestFit="1" customWidth="1"/>
    <col min="11" max="11" width="2.33203125" style="1" customWidth="1"/>
    <col min="12" max="12" width="2.6640625" style="1" customWidth="1"/>
    <col min="13" max="13" width="2.21875" style="1" customWidth="1"/>
    <col min="14" max="14" width="12.88671875" style="1" bestFit="1" customWidth="1"/>
    <col min="15" max="16384" width="8.88671875" style="1"/>
  </cols>
  <sheetData>
    <row r="2" spans="2:13" x14ac:dyDescent="0.35">
      <c r="B2" s="108" t="s">
        <v>280</v>
      </c>
      <c r="C2" s="108"/>
      <c r="D2" s="108"/>
      <c r="E2" s="108"/>
      <c r="F2" s="108"/>
      <c r="G2" s="108"/>
      <c r="H2" s="108"/>
      <c r="I2" s="108"/>
      <c r="J2" s="108"/>
      <c r="K2" s="26"/>
      <c r="L2" s="26"/>
      <c r="M2" s="26"/>
    </row>
    <row r="3" spans="2:13" ht="4.95" customHeight="1" x14ac:dyDescent="0.35">
      <c r="B3" s="85"/>
      <c r="C3" s="85"/>
      <c r="D3" s="85"/>
      <c r="E3" s="85"/>
      <c r="F3" s="85"/>
      <c r="G3" s="85"/>
      <c r="H3" s="85"/>
      <c r="I3" s="85"/>
      <c r="J3" s="85"/>
      <c r="K3" s="85"/>
      <c r="L3" s="85"/>
      <c r="M3" s="85"/>
    </row>
    <row r="4" spans="2:13" x14ac:dyDescent="0.35">
      <c r="B4" s="113" t="s">
        <v>72</v>
      </c>
      <c r="C4" s="113"/>
      <c r="D4" s="113"/>
      <c r="E4" s="113"/>
      <c r="F4" s="113"/>
      <c r="G4" s="113"/>
      <c r="H4" s="113"/>
      <c r="I4" s="113"/>
      <c r="J4" s="113"/>
      <c r="K4" s="26"/>
      <c r="L4" s="26"/>
      <c r="M4" s="26"/>
    </row>
    <row r="5" spans="2:13" x14ac:dyDescent="0.35">
      <c r="B5" s="114" t="s">
        <v>53</v>
      </c>
      <c r="C5" s="114"/>
      <c r="D5" s="114"/>
    </row>
    <row r="6" spans="2:13" x14ac:dyDescent="0.35">
      <c r="B6" s="2" t="s">
        <v>54</v>
      </c>
      <c r="C6" s="8">
        <f>'Assumptions and Terms'!C6</f>
        <v>1000</v>
      </c>
      <c r="D6" s="112"/>
      <c r="E6" s="112"/>
      <c r="F6" s="112"/>
      <c r="G6" s="112"/>
      <c r="H6" s="112"/>
      <c r="I6" s="112"/>
      <c r="J6" s="112"/>
      <c r="K6" s="112"/>
      <c r="L6" s="112"/>
      <c r="M6" s="112"/>
    </row>
    <row r="7" spans="2:13" x14ac:dyDescent="0.35">
      <c r="B7" s="2" t="s">
        <v>55</v>
      </c>
      <c r="C7" s="5">
        <v>1.7500000000000002E-2</v>
      </c>
      <c r="D7" s="112"/>
      <c r="E7" s="112"/>
      <c r="F7" s="112"/>
      <c r="G7" s="112"/>
      <c r="H7" s="112"/>
      <c r="I7" s="112"/>
      <c r="J7" s="112"/>
      <c r="K7" s="112"/>
      <c r="L7" s="112"/>
      <c r="M7" s="112"/>
    </row>
    <row r="8" spans="2:13" x14ac:dyDescent="0.35">
      <c r="B8" s="2" t="s">
        <v>0</v>
      </c>
      <c r="C8" s="6">
        <v>2</v>
      </c>
      <c r="D8" s="112"/>
      <c r="E8" s="112"/>
      <c r="F8" s="112"/>
      <c r="G8" s="112"/>
      <c r="H8" s="112"/>
      <c r="I8" s="112"/>
      <c r="J8" s="112"/>
      <c r="K8" s="112"/>
      <c r="L8" s="112"/>
      <c r="M8" s="112"/>
    </row>
    <row r="9" spans="2:13" x14ac:dyDescent="0.35">
      <c r="B9" s="2" t="s">
        <v>56</v>
      </c>
      <c r="C9" s="14">
        <f>'Assumptions and Terms'!$C$9</f>
        <v>45916</v>
      </c>
    </row>
    <row r="10" spans="2:13" x14ac:dyDescent="0.35">
      <c r="B10" s="2" t="s">
        <v>57</v>
      </c>
      <c r="C10" s="14">
        <v>46113</v>
      </c>
      <c r="D10" s="112"/>
      <c r="E10" s="112"/>
      <c r="F10" s="112"/>
      <c r="G10" s="112"/>
      <c r="H10" s="112"/>
      <c r="I10" s="112"/>
      <c r="J10" s="112"/>
      <c r="K10" s="112"/>
      <c r="L10" s="112"/>
      <c r="M10" s="112"/>
    </row>
    <row r="11" spans="2:13" x14ac:dyDescent="0.35">
      <c r="B11" s="2" t="s">
        <v>58</v>
      </c>
      <c r="C11" s="14">
        <v>48122</v>
      </c>
      <c r="D11" s="112"/>
      <c r="E11" s="112"/>
      <c r="F11" s="112"/>
      <c r="G11" s="112"/>
      <c r="H11" s="112"/>
      <c r="I11" s="112"/>
      <c r="J11" s="112"/>
      <c r="K11" s="112"/>
      <c r="L11" s="112"/>
      <c r="M11" s="112"/>
    </row>
    <row r="12" spans="2:13" x14ac:dyDescent="0.35">
      <c r="B12" s="2" t="s">
        <v>36</v>
      </c>
      <c r="C12" s="14">
        <v>46179</v>
      </c>
      <c r="D12" s="112"/>
      <c r="E12" s="112"/>
      <c r="F12" s="112"/>
      <c r="G12" s="112"/>
      <c r="H12" s="112"/>
      <c r="I12" s="112"/>
      <c r="J12" s="112"/>
      <c r="K12" s="112"/>
      <c r="L12" s="112"/>
      <c r="M12" s="112"/>
    </row>
    <row r="13" spans="2:13" x14ac:dyDescent="0.35">
      <c r="B13" s="2" t="s">
        <v>59</v>
      </c>
      <c r="C13" s="8">
        <f>C6*C7/C8</f>
        <v>8.75</v>
      </c>
      <c r="D13" s="112"/>
      <c r="E13" s="112"/>
      <c r="F13" s="112"/>
      <c r="G13" s="112"/>
      <c r="H13" s="112"/>
      <c r="I13" s="112"/>
      <c r="J13" s="112"/>
      <c r="K13" s="112"/>
      <c r="L13" s="112"/>
      <c r="M13" s="112"/>
    </row>
    <row r="14" spans="2:13" x14ac:dyDescent="0.35">
      <c r="B14" s="114" t="s">
        <v>283</v>
      </c>
      <c r="C14" s="114"/>
      <c r="D14" s="114"/>
    </row>
    <row r="15" spans="2:13" x14ac:dyDescent="0.35">
      <c r="B15" s="2" t="s">
        <v>60</v>
      </c>
      <c r="C15" s="5">
        <f>'Assumptions and Terms'!C19</f>
        <v>4.4699999999999997E-2</v>
      </c>
      <c r="D15" s="112"/>
      <c r="E15" s="112"/>
      <c r="F15" s="112"/>
      <c r="G15" s="112"/>
      <c r="H15" s="112"/>
      <c r="I15" s="112"/>
      <c r="J15" s="112"/>
      <c r="K15" s="112"/>
      <c r="L15" s="112"/>
      <c r="M15" s="112"/>
    </row>
    <row r="16" spans="2:13" x14ac:dyDescent="0.35">
      <c r="B16" s="2" t="s">
        <v>61</v>
      </c>
      <c r="C16" s="5">
        <v>2.98E-2</v>
      </c>
      <c r="D16" s="112" t="s">
        <v>274</v>
      </c>
      <c r="E16" s="112"/>
      <c r="F16" s="112"/>
      <c r="G16" s="112"/>
      <c r="H16" s="112"/>
      <c r="I16" s="112"/>
      <c r="J16" s="112"/>
      <c r="K16" s="112"/>
      <c r="L16" s="112"/>
      <c r="M16" s="112"/>
    </row>
    <row r="17" spans="2:13" x14ac:dyDescent="0.35">
      <c r="B17" s="2" t="s">
        <v>74</v>
      </c>
      <c r="C17" s="5">
        <f>C16*0.25%</f>
        <v>7.4500000000000008E-5</v>
      </c>
      <c r="D17" s="23" t="s">
        <v>115</v>
      </c>
      <c r="E17" s="3"/>
      <c r="F17" s="3"/>
      <c r="G17" s="3"/>
      <c r="H17" s="3"/>
      <c r="I17" s="3"/>
      <c r="J17" s="3"/>
      <c r="K17" s="3"/>
      <c r="L17" s="3"/>
      <c r="M17" s="3"/>
    </row>
    <row r="18" spans="2:13" x14ac:dyDescent="0.35">
      <c r="B18" s="24" t="s">
        <v>114</v>
      </c>
      <c r="C18" s="25">
        <f>SUM(C15:C17)</f>
        <v>7.4574500000000002E-2</v>
      </c>
      <c r="D18" s="112"/>
      <c r="E18" s="112"/>
      <c r="F18" s="112"/>
      <c r="G18" s="112"/>
      <c r="H18" s="112"/>
      <c r="I18" s="112"/>
      <c r="J18" s="112"/>
      <c r="K18" s="112"/>
      <c r="L18" s="112"/>
      <c r="M18" s="112"/>
    </row>
    <row r="19" spans="2:13" x14ac:dyDescent="0.35">
      <c r="B19" s="114" t="s">
        <v>275</v>
      </c>
      <c r="C19" s="114"/>
      <c r="D19" s="114"/>
      <c r="E19" s="114"/>
      <c r="F19" s="114"/>
      <c r="G19" s="114"/>
      <c r="H19" s="114"/>
      <c r="I19" s="114"/>
      <c r="J19" s="114"/>
      <c r="K19" s="26"/>
      <c r="L19" s="26"/>
      <c r="M19" s="26"/>
    </row>
    <row r="20" spans="2:13" x14ac:dyDescent="0.35">
      <c r="B20" s="86" t="s">
        <v>62</v>
      </c>
      <c r="C20" s="86" t="s">
        <v>63</v>
      </c>
      <c r="D20" s="86" t="s">
        <v>64</v>
      </c>
      <c r="E20" s="86" t="s">
        <v>65</v>
      </c>
      <c r="F20" s="86" t="s">
        <v>66</v>
      </c>
      <c r="G20" s="86" t="s">
        <v>67</v>
      </c>
      <c r="H20" s="86" t="s">
        <v>68</v>
      </c>
      <c r="I20" s="86" t="s">
        <v>212</v>
      </c>
      <c r="J20" s="86" t="s">
        <v>69</v>
      </c>
    </row>
    <row r="21" spans="2:13" x14ac:dyDescent="0.35">
      <c r="B21" s="27">
        <v>1</v>
      </c>
      <c r="C21" s="28">
        <v>46296</v>
      </c>
      <c r="D21" s="29">
        <f>C21-$C$12</f>
        <v>117</v>
      </c>
      <c r="E21" s="30">
        <f t="shared" ref="E21:E31" si="0">D21/365</f>
        <v>0.32054794520547947</v>
      </c>
      <c r="F21" s="31">
        <f>C13</f>
        <v>8.75</v>
      </c>
      <c r="G21" s="31">
        <v>0</v>
      </c>
      <c r="H21" s="31">
        <f t="shared" ref="H21:H31" si="1">F21+G21</f>
        <v>8.75</v>
      </c>
      <c r="I21" s="30">
        <f>1/(1+C18)^E21</f>
        <v>0.97720840649621088</v>
      </c>
      <c r="J21" s="31">
        <f t="shared" ref="J21:J31" si="2">H21*I21</f>
        <v>8.5505735568418455</v>
      </c>
    </row>
    <row r="22" spans="2:13" x14ac:dyDescent="0.35">
      <c r="B22" s="27">
        <v>2</v>
      </c>
      <c r="C22" s="28">
        <v>46478</v>
      </c>
      <c r="D22" s="29">
        <f t="shared" ref="D22:D31" si="3">C22-$C$12</f>
        <v>299</v>
      </c>
      <c r="E22" s="30">
        <f t="shared" si="0"/>
        <v>0.81917808219178079</v>
      </c>
      <c r="F22" s="31">
        <f>C13</f>
        <v>8.75</v>
      </c>
      <c r="G22" s="31">
        <v>0</v>
      </c>
      <c r="H22" s="31">
        <f t="shared" si="1"/>
        <v>8.75</v>
      </c>
      <c r="I22" s="30">
        <f>1/(1+C18)^E22</f>
        <v>0.94278294807619933</v>
      </c>
      <c r="J22" s="31">
        <f t="shared" si="2"/>
        <v>8.2493507956667447</v>
      </c>
    </row>
    <row r="23" spans="2:13" x14ac:dyDescent="0.35">
      <c r="B23" s="27">
        <v>3</v>
      </c>
      <c r="C23" s="28">
        <v>46661</v>
      </c>
      <c r="D23" s="29">
        <f t="shared" si="3"/>
        <v>482</v>
      </c>
      <c r="E23" s="30">
        <f t="shared" si="0"/>
        <v>1.3205479452054794</v>
      </c>
      <c r="F23" s="31">
        <f>C13</f>
        <v>8.75</v>
      </c>
      <c r="G23" s="31">
        <v>0</v>
      </c>
      <c r="H23" s="31">
        <f t="shared" si="1"/>
        <v>8.75</v>
      </c>
      <c r="I23" s="30">
        <f>1/(1+C18)^E23</f>
        <v>0.90939102546748596</v>
      </c>
      <c r="J23" s="31">
        <f t="shared" si="2"/>
        <v>7.9571714728405025</v>
      </c>
    </row>
    <row r="24" spans="2:13" x14ac:dyDescent="0.35">
      <c r="B24" s="27">
        <v>4</v>
      </c>
      <c r="C24" s="28">
        <v>46844</v>
      </c>
      <c r="D24" s="29">
        <f t="shared" si="3"/>
        <v>665</v>
      </c>
      <c r="E24" s="30">
        <f t="shared" si="0"/>
        <v>1.821917808219178</v>
      </c>
      <c r="F24" s="31">
        <f>C13</f>
        <v>8.75</v>
      </c>
      <c r="G24" s="31">
        <v>0</v>
      </c>
      <c r="H24" s="31">
        <f t="shared" si="1"/>
        <v>8.75</v>
      </c>
      <c r="I24" s="30">
        <f>1/(1+C18)^E24</f>
        <v>0.87718179342162317</v>
      </c>
      <c r="J24" s="31">
        <f t="shared" si="2"/>
        <v>7.6753406924392031</v>
      </c>
    </row>
    <row r="25" spans="2:13" x14ac:dyDescent="0.35">
      <c r="B25" s="27">
        <v>5</v>
      </c>
      <c r="C25" s="28">
        <v>47027</v>
      </c>
      <c r="D25" s="29">
        <f t="shared" si="3"/>
        <v>848</v>
      </c>
      <c r="E25" s="30">
        <f t="shared" si="0"/>
        <v>2.3232876712328765</v>
      </c>
      <c r="F25" s="31">
        <f>C13</f>
        <v>8.75</v>
      </c>
      <c r="G25" s="31">
        <v>0</v>
      </c>
      <c r="H25" s="31">
        <f t="shared" si="1"/>
        <v>8.75</v>
      </c>
      <c r="I25" s="30">
        <f>1/(1+C18)^E25</f>
        <v>0.84611336285711547</v>
      </c>
      <c r="J25" s="31">
        <f t="shared" si="2"/>
        <v>7.4034919249997602</v>
      </c>
    </row>
    <row r="26" spans="2:13" x14ac:dyDescent="0.35">
      <c r="B26" s="27">
        <v>6</v>
      </c>
      <c r="C26" s="28">
        <v>47209</v>
      </c>
      <c r="D26" s="29">
        <f t="shared" si="3"/>
        <v>1030</v>
      </c>
      <c r="E26" s="30">
        <f t="shared" si="0"/>
        <v>2.8219178082191783</v>
      </c>
      <c r="F26" s="31">
        <f>C13</f>
        <v>8.75</v>
      </c>
      <c r="G26" s="31">
        <v>0</v>
      </c>
      <c r="H26" s="31">
        <f t="shared" si="1"/>
        <v>8.75</v>
      </c>
      <c r="I26" s="30">
        <f>1/(1+C18)^E26</f>
        <v>0.81630616902003827</v>
      </c>
      <c r="J26" s="31">
        <f t="shared" si="2"/>
        <v>7.1426789789253347</v>
      </c>
    </row>
    <row r="27" spans="2:13" x14ac:dyDescent="0.35">
      <c r="B27" s="27">
        <v>7</v>
      </c>
      <c r="C27" s="28">
        <v>47392</v>
      </c>
      <c r="D27" s="29">
        <f t="shared" si="3"/>
        <v>1213</v>
      </c>
      <c r="E27" s="30">
        <f t="shared" si="0"/>
        <v>3.3232876712328765</v>
      </c>
      <c r="F27" s="31">
        <f>C13</f>
        <v>8.75</v>
      </c>
      <c r="G27" s="31">
        <v>0</v>
      </c>
      <c r="H27" s="31">
        <f t="shared" si="1"/>
        <v>8.75</v>
      </c>
      <c r="I27" s="30">
        <f>1/(1+C18)^E27</f>
        <v>0.78739385948309371</v>
      </c>
      <c r="J27" s="31">
        <f t="shared" si="2"/>
        <v>6.8896962704770699</v>
      </c>
    </row>
    <row r="28" spans="2:13" x14ac:dyDescent="0.35">
      <c r="B28" s="27">
        <v>8</v>
      </c>
      <c r="C28" s="28">
        <v>47574</v>
      </c>
      <c r="D28" s="29">
        <f t="shared" si="3"/>
        <v>1395</v>
      </c>
      <c r="E28" s="30">
        <f t="shared" si="0"/>
        <v>3.8219178082191783</v>
      </c>
      <c r="F28" s="31">
        <f>C13</f>
        <v>8.75</v>
      </c>
      <c r="G28" s="31">
        <v>0</v>
      </c>
      <c r="H28" s="31">
        <f t="shared" si="1"/>
        <v>8.75</v>
      </c>
      <c r="I28" s="30">
        <f>1/(1+C18)^E28</f>
        <v>0.7596552579835445</v>
      </c>
      <c r="J28" s="31">
        <f t="shared" si="2"/>
        <v>6.6469835073560146</v>
      </c>
    </row>
    <row r="29" spans="2:13" x14ac:dyDescent="0.35">
      <c r="B29" s="27">
        <v>9</v>
      </c>
      <c r="C29" s="28">
        <v>47757</v>
      </c>
      <c r="D29" s="29">
        <f t="shared" si="3"/>
        <v>1578</v>
      </c>
      <c r="E29" s="30">
        <f t="shared" si="0"/>
        <v>4.3232876712328769</v>
      </c>
      <c r="F29" s="31">
        <f>C13</f>
        <v>8.75</v>
      </c>
      <c r="G29" s="31">
        <v>0</v>
      </c>
      <c r="H29" s="31">
        <f t="shared" si="1"/>
        <v>8.75</v>
      </c>
      <c r="I29" s="30">
        <f>1/(1+C18)^E29</f>
        <v>0.7327494366217453</v>
      </c>
      <c r="J29" s="31">
        <f t="shared" si="2"/>
        <v>6.4115575704402712</v>
      </c>
    </row>
    <row r="30" spans="2:13" x14ac:dyDescent="0.35">
      <c r="B30" s="27">
        <v>10</v>
      </c>
      <c r="C30" s="28">
        <v>47939</v>
      </c>
      <c r="D30" s="29">
        <f t="shared" si="3"/>
        <v>1760</v>
      </c>
      <c r="E30" s="30">
        <f t="shared" si="0"/>
        <v>4.8219178082191778</v>
      </c>
      <c r="F30" s="31">
        <f>C13</f>
        <v>8.75</v>
      </c>
      <c r="G30" s="31">
        <v>0</v>
      </c>
      <c r="H30" s="31">
        <f t="shared" si="1"/>
        <v>8.75</v>
      </c>
      <c r="I30" s="30">
        <f>1/(1+C18)^E30</f>
        <v>0.70693586901936034</v>
      </c>
      <c r="J30" s="31">
        <f t="shared" si="2"/>
        <v>6.1856888539194026</v>
      </c>
    </row>
    <row r="31" spans="2:13" x14ac:dyDescent="0.35">
      <c r="B31" s="32">
        <v>11</v>
      </c>
      <c r="C31" s="33">
        <v>48122</v>
      </c>
      <c r="D31" s="29">
        <f t="shared" si="3"/>
        <v>1943</v>
      </c>
      <c r="E31" s="30">
        <f t="shared" si="0"/>
        <v>5.3232876712328769</v>
      </c>
      <c r="F31" s="31">
        <f>C13</f>
        <v>8.75</v>
      </c>
      <c r="G31" s="34">
        <f>C6</f>
        <v>1000</v>
      </c>
      <c r="H31" s="34">
        <f t="shared" si="1"/>
        <v>1008.75</v>
      </c>
      <c r="I31" s="30">
        <f>1/(1+C18)^E31</f>
        <v>0.681897287365134</v>
      </c>
      <c r="J31" s="34">
        <f t="shared" si="2"/>
        <v>687.86388862957892</v>
      </c>
    </row>
    <row r="32" spans="2:13" ht="15" thickBot="1" x14ac:dyDescent="0.4">
      <c r="B32" s="114" t="s">
        <v>276</v>
      </c>
      <c r="C32" s="114"/>
      <c r="D32" s="114"/>
      <c r="E32" s="114"/>
      <c r="F32" s="114"/>
      <c r="G32" s="114"/>
      <c r="H32" s="114"/>
      <c r="I32" s="114"/>
      <c r="J32" s="114"/>
      <c r="K32" s="26"/>
      <c r="L32" s="26"/>
      <c r="M32" s="26"/>
    </row>
    <row r="33" spans="2:13" x14ac:dyDescent="0.35">
      <c r="B33" s="66" t="s">
        <v>112</v>
      </c>
      <c r="C33" s="67">
        <f>SUM(J21:J31)</f>
        <v>760.97642225348511</v>
      </c>
      <c r="D33" s="112"/>
      <c r="E33" s="112"/>
      <c r="F33" s="112"/>
      <c r="G33" s="112"/>
      <c r="H33" s="112"/>
      <c r="I33" s="112"/>
      <c r="J33" s="112"/>
      <c r="K33" s="112"/>
      <c r="L33" s="112"/>
      <c r="M33" s="112"/>
    </row>
    <row r="34" spans="2:13" x14ac:dyDescent="0.35">
      <c r="B34" s="68" t="s">
        <v>70</v>
      </c>
      <c r="C34" s="69">
        <f>C6*C7*66/365</f>
        <v>3.1643835616438358</v>
      </c>
      <c r="D34" s="112"/>
      <c r="E34" s="112"/>
      <c r="F34" s="112"/>
      <c r="G34" s="112"/>
      <c r="H34" s="112"/>
      <c r="I34" s="112"/>
      <c r="J34" s="112"/>
      <c r="K34" s="112"/>
      <c r="L34" s="112"/>
      <c r="M34" s="112"/>
    </row>
    <row r="35" spans="2:13" x14ac:dyDescent="0.35">
      <c r="B35" s="68" t="s">
        <v>113</v>
      </c>
      <c r="C35" s="69">
        <f>C33+C34</f>
        <v>764.14080581512894</v>
      </c>
      <c r="D35" s="112"/>
      <c r="E35" s="112"/>
      <c r="F35" s="112"/>
      <c r="G35" s="112"/>
      <c r="H35" s="112"/>
      <c r="I35" s="112"/>
      <c r="J35" s="112"/>
      <c r="K35" s="112"/>
      <c r="L35" s="112"/>
      <c r="M35" s="112"/>
    </row>
    <row r="36" spans="2:13" ht="15" thickBot="1" x14ac:dyDescent="0.4">
      <c r="B36" s="70" t="s">
        <v>264</v>
      </c>
      <c r="C36" s="71">
        <f>C33/C6</f>
        <v>0.76097642225348516</v>
      </c>
      <c r="D36" s="112"/>
      <c r="E36" s="112"/>
      <c r="F36" s="112"/>
      <c r="G36" s="112"/>
      <c r="H36" s="112"/>
      <c r="I36" s="112"/>
      <c r="J36" s="112"/>
      <c r="K36" s="112"/>
      <c r="L36" s="112"/>
      <c r="M36" s="112"/>
    </row>
  </sheetData>
  <mergeCells count="20">
    <mergeCell ref="D11:M11"/>
    <mergeCell ref="B5:D5"/>
    <mergeCell ref="D12:M12"/>
    <mergeCell ref="D13:M13"/>
    <mergeCell ref="B14:D14"/>
    <mergeCell ref="D15:M15"/>
    <mergeCell ref="D16:M16"/>
    <mergeCell ref="D35:M35"/>
    <mergeCell ref="D36:M36"/>
    <mergeCell ref="D18:M18"/>
    <mergeCell ref="D33:M33"/>
    <mergeCell ref="D34:M34"/>
    <mergeCell ref="B19:J19"/>
    <mergeCell ref="B32:J32"/>
    <mergeCell ref="D6:M6"/>
    <mergeCell ref="D7:M7"/>
    <mergeCell ref="D8:M8"/>
    <mergeCell ref="D10:M10"/>
    <mergeCell ref="B2:J2"/>
    <mergeCell ref="B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E4CF0-2C55-4407-902D-0C0C3FAD8A52}">
  <dimension ref="B2:D29"/>
  <sheetViews>
    <sheetView showGridLines="0" tabSelected="1" topLeftCell="A7" zoomScaleNormal="100" workbookViewId="0">
      <selection activeCell="C18" sqref="C18"/>
    </sheetView>
  </sheetViews>
  <sheetFormatPr defaultColWidth="8.6640625" defaultRowHeight="14.4" x14ac:dyDescent="0.35"/>
  <cols>
    <col min="1" max="1" width="2" style="1" customWidth="1"/>
    <col min="2" max="2" width="42" style="1" customWidth="1"/>
    <col min="3" max="3" width="18" style="1" customWidth="1"/>
    <col min="4" max="4" width="44" style="1" customWidth="1"/>
    <col min="5" max="16384" width="8.6640625" style="1"/>
  </cols>
  <sheetData>
    <row r="2" spans="2:4" x14ac:dyDescent="0.35">
      <c r="B2" s="108" t="s">
        <v>290</v>
      </c>
      <c r="C2" s="108"/>
      <c r="D2" s="108"/>
    </row>
    <row r="3" spans="2:4" ht="3.75" customHeight="1" x14ac:dyDescent="0.35"/>
    <row r="4" spans="2:4" ht="19.5" customHeight="1" x14ac:dyDescent="0.35">
      <c r="B4" s="116" t="s">
        <v>318</v>
      </c>
      <c r="C4" s="116"/>
      <c r="D4" s="116"/>
    </row>
    <row r="5" spans="2:4" ht="19.5" customHeight="1" x14ac:dyDescent="0.35">
      <c r="B5" s="24" t="s">
        <v>11</v>
      </c>
      <c r="C5" s="34">
        <f>'Straight Bond'!$C$33</f>
        <v>760.97642225348511</v>
      </c>
      <c r="D5" s="18"/>
    </row>
    <row r="6" spans="2:4" ht="3.75" customHeight="1" x14ac:dyDescent="0.35"/>
    <row r="7" spans="2:4" ht="19.5" customHeight="1" x14ac:dyDescent="0.35">
      <c r="B7" s="116" t="s">
        <v>319</v>
      </c>
      <c r="C7" s="116"/>
      <c r="D7" s="116"/>
    </row>
    <row r="8" spans="2:4" ht="19.5" customHeight="1" x14ac:dyDescent="0.35">
      <c r="B8" s="2" t="s">
        <v>12</v>
      </c>
      <c r="C8" s="31">
        <f>'Assumptions and Terms'!$C$23</f>
        <v>71.48</v>
      </c>
      <c r="D8" s="3"/>
    </row>
    <row r="9" spans="2:4" ht="19.5" customHeight="1" x14ac:dyDescent="0.35">
      <c r="B9" s="2" t="s">
        <v>13</v>
      </c>
      <c r="C9" s="31">
        <f>'Assumptions and Terms'!C13</f>
        <v>68.42</v>
      </c>
      <c r="D9" s="3"/>
    </row>
    <row r="10" spans="2:4" ht="19.5" customHeight="1" x14ac:dyDescent="0.35">
      <c r="B10" s="2" t="s">
        <v>14</v>
      </c>
      <c r="C10" s="78">
        <f>'Assumptions and Terms'!C12</f>
        <v>5.3232876712328769</v>
      </c>
      <c r="D10" s="3"/>
    </row>
    <row r="11" spans="2:4" ht="19.5" customHeight="1" x14ac:dyDescent="0.35">
      <c r="B11" s="2" t="s">
        <v>15</v>
      </c>
      <c r="C11" s="74">
        <f>'Assumptions and Terms'!C19</f>
        <v>4.4699999999999997E-2</v>
      </c>
      <c r="D11" s="3"/>
    </row>
    <row r="12" spans="2:4" ht="19.5" customHeight="1" x14ac:dyDescent="0.35">
      <c r="B12" s="2" t="s">
        <v>16</v>
      </c>
      <c r="C12" s="74">
        <f>'Assumptions and Terms'!C21</f>
        <v>0.63884308243488064</v>
      </c>
      <c r="D12" s="3"/>
    </row>
    <row r="13" spans="2:4" ht="19.5" customHeight="1" x14ac:dyDescent="0.35">
      <c r="B13" s="2" t="s">
        <v>17</v>
      </c>
      <c r="C13" s="74">
        <f>'Assumptions and Terms'!C22</f>
        <v>0</v>
      </c>
      <c r="D13" s="3"/>
    </row>
    <row r="14" spans="2:4" ht="19.5" customHeight="1" x14ac:dyDescent="0.35">
      <c r="B14" s="2" t="s">
        <v>18</v>
      </c>
      <c r="C14" s="30">
        <f>(LN(C8/C9)+(C11-C13+C12^2/2)*C10)/(C12*SQRT(C10))</f>
        <v>0.92809823184326434</v>
      </c>
      <c r="D14" s="3" t="s">
        <v>19</v>
      </c>
    </row>
    <row r="15" spans="2:4" ht="19.5" customHeight="1" x14ac:dyDescent="0.35">
      <c r="B15" s="2" t="s">
        <v>20</v>
      </c>
      <c r="C15" s="30">
        <f>C14-C12*SQRT(C10)</f>
        <v>-0.54585656418040573</v>
      </c>
      <c r="D15" s="3" t="s">
        <v>21</v>
      </c>
    </row>
    <row r="16" spans="2:4" ht="19.5" customHeight="1" x14ac:dyDescent="0.35">
      <c r="B16" s="2" t="s">
        <v>22</v>
      </c>
      <c r="C16" s="30">
        <f>NORMSDIST(C14)</f>
        <v>0.82332169163590929</v>
      </c>
      <c r="D16" s="3" t="s">
        <v>23</v>
      </c>
    </row>
    <row r="17" spans="2:4" ht="19.5" customHeight="1" x14ac:dyDescent="0.35">
      <c r="B17" s="2" t="s">
        <v>24</v>
      </c>
      <c r="C17" s="30">
        <f>NORMSDIST(C15)</f>
        <v>0.29258226891137795</v>
      </c>
      <c r="D17" s="3" t="s">
        <v>25</v>
      </c>
    </row>
    <row r="18" spans="2:4" ht="19.5" customHeight="1" x14ac:dyDescent="0.35">
      <c r="B18" s="2" t="s">
        <v>26</v>
      </c>
      <c r="C18" s="31">
        <f>C8*EXP(-C13*C10)*C16-C9*EXP(-C11*C10)*C17</f>
        <v>43.071641805960681</v>
      </c>
      <c r="D18" s="3" t="s">
        <v>27</v>
      </c>
    </row>
    <row r="19" spans="2:4" ht="19.5" customHeight="1" x14ac:dyDescent="0.35">
      <c r="B19" s="2" t="s">
        <v>28</v>
      </c>
      <c r="C19" s="30">
        <f>'Assumptions and Terms'!C15</f>
        <v>14.615609470914936</v>
      </c>
      <c r="D19" s="3"/>
    </row>
    <row r="20" spans="2:4" ht="19.5" customHeight="1" x14ac:dyDescent="0.35">
      <c r="B20" s="24" t="s">
        <v>29</v>
      </c>
      <c r="C20" s="34">
        <f>C18*C19</f>
        <v>629.51829590705461</v>
      </c>
      <c r="D20" s="3"/>
    </row>
    <row r="21" spans="2:4" ht="3.75" customHeight="1" x14ac:dyDescent="0.35"/>
    <row r="22" spans="2:4" ht="19.5" customHeight="1" x14ac:dyDescent="0.35">
      <c r="B22" s="116" t="s">
        <v>292</v>
      </c>
      <c r="C22" s="116"/>
      <c r="D22" s="116"/>
    </row>
    <row r="23" spans="2:4" ht="19.5" customHeight="1" thickBot="1" x14ac:dyDescent="0.4">
      <c r="B23" s="2" t="s">
        <v>11</v>
      </c>
      <c r="C23" s="31">
        <f>C5</f>
        <v>760.97642225348511</v>
      </c>
      <c r="D23" s="3"/>
    </row>
    <row r="24" spans="2:4" ht="19.5" customHeight="1" thickBot="1" x14ac:dyDescent="0.4">
      <c r="B24" s="76" t="s">
        <v>30</v>
      </c>
      <c r="C24" s="77">
        <f>C20</f>
        <v>629.51829590705461</v>
      </c>
      <c r="D24" s="3"/>
    </row>
    <row r="25" spans="2:4" ht="19.5" customHeight="1" x14ac:dyDescent="0.35">
      <c r="B25" s="2" t="s">
        <v>31</v>
      </c>
      <c r="C25" s="31">
        <f>C23+C24</f>
        <v>1390.4947181605398</v>
      </c>
      <c r="D25" s="3"/>
    </row>
    <row r="26" spans="2:4" ht="19.5" customHeight="1" x14ac:dyDescent="0.35">
      <c r="B26" s="2" t="s">
        <v>32</v>
      </c>
      <c r="C26" s="74">
        <f>C23/C25</f>
        <v>0.54727027173477294</v>
      </c>
      <c r="D26" s="3"/>
    </row>
    <row r="27" spans="2:4" ht="19.5" customHeight="1" x14ac:dyDescent="0.35">
      <c r="B27" s="2" t="s">
        <v>33</v>
      </c>
      <c r="C27" s="74">
        <f>C24/C25</f>
        <v>0.452729728265227</v>
      </c>
      <c r="D27" s="3"/>
    </row>
    <row r="28" spans="2:4" ht="3.75" customHeight="1" x14ac:dyDescent="0.35"/>
    <row r="29" spans="2:4" ht="54" customHeight="1" x14ac:dyDescent="0.35">
      <c r="B29" s="115" t="s">
        <v>315</v>
      </c>
      <c r="C29" s="115"/>
      <c r="D29" s="115"/>
    </row>
  </sheetData>
  <mergeCells count="5">
    <mergeCell ref="B29:D29"/>
    <mergeCell ref="B2:D2"/>
    <mergeCell ref="B4:D4"/>
    <mergeCell ref="B7:D7"/>
    <mergeCell ref="B22:D2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712C-47B2-4C96-8FDE-FDA52CA465F5}">
  <dimension ref="B1:N61"/>
  <sheetViews>
    <sheetView showGridLines="0" topLeftCell="A35" zoomScaleNormal="100" workbookViewId="0">
      <selection activeCell="C59" sqref="C59"/>
    </sheetView>
  </sheetViews>
  <sheetFormatPr defaultColWidth="8.6640625" defaultRowHeight="14.4" x14ac:dyDescent="0.35"/>
  <cols>
    <col min="1" max="1" width="2" style="1" customWidth="1"/>
    <col min="2" max="2" width="32" style="1" customWidth="1"/>
    <col min="3" max="14" width="11" style="1" customWidth="1"/>
    <col min="15" max="16384" width="8.6640625" style="1"/>
  </cols>
  <sheetData>
    <row r="1" spans="2:14" x14ac:dyDescent="0.35">
      <c r="B1" s="118"/>
      <c r="C1" s="118"/>
      <c r="D1" s="118"/>
    </row>
    <row r="2" spans="2:14" x14ac:dyDescent="0.35">
      <c r="B2" s="108" t="s">
        <v>291</v>
      </c>
      <c r="C2" s="108"/>
      <c r="D2" s="108"/>
      <c r="E2" s="108"/>
      <c r="F2" s="108"/>
      <c r="G2" s="108"/>
      <c r="H2" s="108"/>
      <c r="I2" s="108"/>
      <c r="J2" s="108"/>
      <c r="K2" s="108"/>
      <c r="L2" s="108"/>
      <c r="M2" s="108"/>
      <c r="N2" s="108"/>
    </row>
    <row r="3" spans="2:14" ht="4.5" customHeight="1" x14ac:dyDescent="0.35"/>
    <row r="4" spans="2:14" ht="4.5" customHeight="1" x14ac:dyDescent="0.35"/>
    <row r="5" spans="2:14" ht="19.5" customHeight="1" x14ac:dyDescent="0.35">
      <c r="B5" s="116" t="s">
        <v>297</v>
      </c>
      <c r="C5" s="116"/>
      <c r="D5" s="116"/>
    </row>
    <row r="6" spans="2:14" ht="18" customHeight="1" x14ac:dyDescent="0.35">
      <c r="B6" s="2" t="s">
        <v>218</v>
      </c>
      <c r="C6" s="8">
        <f>'Assumptions and Terms'!C23</f>
        <v>71.48</v>
      </c>
      <c r="D6" s="23"/>
    </row>
    <row r="7" spans="2:14" ht="18" customHeight="1" x14ac:dyDescent="0.35">
      <c r="B7" s="2" t="s">
        <v>219</v>
      </c>
      <c r="C7" s="8">
        <f>'Assumptions and Terms'!C13</f>
        <v>68.42</v>
      </c>
      <c r="D7" s="23"/>
    </row>
    <row r="8" spans="2:14" ht="18" customHeight="1" x14ac:dyDescent="0.35">
      <c r="B8" s="2" t="s">
        <v>59</v>
      </c>
      <c r="C8" s="8">
        <f>'Assumptions and Terms'!C27</f>
        <v>8.75</v>
      </c>
      <c r="D8" s="23"/>
    </row>
    <row r="9" spans="2:14" ht="18" customHeight="1" x14ac:dyDescent="0.35">
      <c r="B9" s="2" t="s">
        <v>28</v>
      </c>
      <c r="C9" s="9">
        <f>'Assumptions and Terms'!C15</f>
        <v>14.615609470914936</v>
      </c>
      <c r="D9" s="23"/>
    </row>
    <row r="10" spans="2:14" ht="18" customHeight="1" x14ac:dyDescent="0.35">
      <c r="B10" s="2" t="s">
        <v>220</v>
      </c>
      <c r="C10" s="9">
        <f>'Assumptions and Terms'!C12</f>
        <v>5.3232876712328769</v>
      </c>
      <c r="D10" s="23"/>
    </row>
    <row r="11" spans="2:14" ht="18" customHeight="1" x14ac:dyDescent="0.35">
      <c r="B11" s="2" t="s">
        <v>34</v>
      </c>
      <c r="C11" s="6">
        <v>11</v>
      </c>
      <c r="D11" s="23"/>
    </row>
    <row r="12" spans="2:14" ht="18" customHeight="1" x14ac:dyDescent="0.35">
      <c r="B12" s="2" t="s">
        <v>221</v>
      </c>
      <c r="C12" s="5">
        <f>'Assumptions and Terms'!C21</f>
        <v>0.63884308243488064</v>
      </c>
      <c r="D12" s="23"/>
    </row>
    <row r="13" spans="2:14" ht="18" customHeight="1" x14ac:dyDescent="0.35">
      <c r="B13" s="2" t="s">
        <v>60</v>
      </c>
      <c r="C13" s="5">
        <f>'Assumptions and Terms'!C19</f>
        <v>4.4699999999999997E-2</v>
      </c>
      <c r="D13" s="23"/>
    </row>
    <row r="14" spans="2:14" ht="18" customHeight="1" x14ac:dyDescent="0.35">
      <c r="B14" s="2" t="s">
        <v>222</v>
      </c>
      <c r="C14" s="5">
        <f>'Straight Bond'!C18</f>
        <v>7.4574500000000002E-2</v>
      </c>
      <c r="D14" s="23"/>
    </row>
    <row r="15" spans="2:14" ht="18" customHeight="1" x14ac:dyDescent="0.35">
      <c r="B15" s="2" t="s">
        <v>223</v>
      </c>
      <c r="C15" s="8">
        <f>'Assumptions and Terms'!C13*1.3</f>
        <v>88.946000000000012</v>
      </c>
      <c r="D15" s="23"/>
    </row>
    <row r="16" spans="2:14" ht="4.5" customHeight="1" x14ac:dyDescent="0.35"/>
    <row r="17" spans="2:14" ht="4.5" customHeight="1" x14ac:dyDescent="0.35"/>
    <row r="18" spans="2:14" ht="19.5" customHeight="1" x14ac:dyDescent="0.35">
      <c r="B18" s="116" t="s">
        <v>298</v>
      </c>
      <c r="C18" s="116"/>
      <c r="D18" s="116"/>
    </row>
    <row r="19" spans="2:14" ht="18" customHeight="1" x14ac:dyDescent="0.35">
      <c r="B19" s="2" t="s">
        <v>224</v>
      </c>
      <c r="C19" s="30">
        <f>$C$10/$C$11</f>
        <v>0.48393524283935246</v>
      </c>
      <c r="D19" s="23" t="s">
        <v>225</v>
      </c>
    </row>
    <row r="20" spans="2:14" ht="18" customHeight="1" x14ac:dyDescent="0.35">
      <c r="B20" s="2" t="s">
        <v>226</v>
      </c>
      <c r="C20" s="30">
        <f>EXP($C$12*SQRT($C$19))</f>
        <v>1.5595761605571248</v>
      </c>
      <c r="D20" s="23" t="s">
        <v>249</v>
      </c>
    </row>
    <row r="21" spans="2:14" ht="18" customHeight="1" x14ac:dyDescent="0.35">
      <c r="B21" s="2" t="s">
        <v>227</v>
      </c>
      <c r="C21" s="30">
        <f>1/$C$20</f>
        <v>0.64119984986354994</v>
      </c>
      <c r="D21" s="23" t="s">
        <v>228</v>
      </c>
    </row>
    <row r="22" spans="2:14" ht="18" customHeight="1" x14ac:dyDescent="0.35">
      <c r="B22" s="2" t="s">
        <v>229</v>
      </c>
      <c r="C22" s="30">
        <f>(EXP($C$13*$C$19)-$C$21)/($C$20-$C$21)</f>
        <v>0.41450080643048548</v>
      </c>
      <c r="D22" s="23" t="s">
        <v>250</v>
      </c>
    </row>
    <row r="23" spans="2:14" ht="18" customHeight="1" x14ac:dyDescent="0.35">
      <c r="B23" s="2" t="s">
        <v>230</v>
      </c>
      <c r="C23" s="30">
        <f>1-$C$22</f>
        <v>0.58549919356951452</v>
      </c>
    </row>
    <row r="24" spans="2:14" ht="18" customHeight="1" x14ac:dyDescent="0.35">
      <c r="B24" s="17" t="s">
        <v>231</v>
      </c>
      <c r="C24" s="19">
        <f>EXP(-$C$14*$C$19)</f>
        <v>0.96455422365902732</v>
      </c>
      <c r="D24" s="72" t="s">
        <v>232</v>
      </c>
    </row>
    <row r="25" spans="2:14" ht="4.5" customHeight="1" x14ac:dyDescent="0.35"/>
    <row r="26" spans="2:14" ht="27.75" customHeight="1" thickBot="1" x14ac:dyDescent="0.4">
      <c r="B26" s="81"/>
      <c r="C26" s="82" t="s">
        <v>233</v>
      </c>
      <c r="D26" s="82" t="s">
        <v>234</v>
      </c>
      <c r="E26" s="82" t="s">
        <v>235</v>
      </c>
      <c r="F26" s="82" t="s">
        <v>236</v>
      </c>
      <c r="G26" s="82" t="s">
        <v>237</v>
      </c>
      <c r="H26" s="82" t="s">
        <v>238</v>
      </c>
      <c r="I26" s="82" t="s">
        <v>239</v>
      </c>
      <c r="J26" s="82" t="s">
        <v>240</v>
      </c>
      <c r="K26" s="82" t="s">
        <v>241</v>
      </c>
      <c r="L26" s="82" t="s">
        <v>242</v>
      </c>
      <c r="M26" s="82" t="s">
        <v>243</v>
      </c>
      <c r="N26" s="83" t="s">
        <v>244</v>
      </c>
    </row>
    <row r="27" spans="2:14" ht="18" customHeight="1" thickBot="1" x14ac:dyDescent="0.4">
      <c r="B27" s="23" t="s">
        <v>263</v>
      </c>
      <c r="C27" s="84">
        <f>$C$6</f>
        <v>71.48</v>
      </c>
      <c r="D27" s="73">
        <f t="shared" ref="D27:N32" si="0">C27*$C$20</f>
        <v>111.47850395662329</v>
      </c>
      <c r="E27" s="73">
        <f t="shared" si="0"/>
        <v>173.85921718532279</v>
      </c>
      <c r="F27" s="73">
        <f t="shared" si="0"/>
        <v>271.14669041535302</v>
      </c>
      <c r="G27" s="73">
        <f t="shared" si="0"/>
        <v>422.87391438574758</v>
      </c>
      <c r="H27" s="73">
        <f t="shared" si="0"/>
        <v>659.50407579748651</v>
      </c>
      <c r="I27" s="73">
        <f t="shared" si="0"/>
        <v>1028.5468344040189</v>
      </c>
      <c r="J27" s="73">
        <f t="shared" si="0"/>
        <v>1604.0971229530046</v>
      </c>
      <c r="K27" s="73">
        <f t="shared" si="0"/>
        <v>2501.7116321757771</v>
      </c>
      <c r="L27" s="73">
        <f t="shared" si="0"/>
        <v>3901.6098221297966</v>
      </c>
      <c r="M27" s="73">
        <f t="shared" si="0"/>
        <v>6084.8576663891545</v>
      </c>
      <c r="N27" s="73">
        <f t="shared" si="0"/>
        <v>9489.7989568837838</v>
      </c>
    </row>
    <row r="28" spans="2:14" ht="18" customHeight="1" x14ac:dyDescent="0.35">
      <c r="B28" s="23" t="s">
        <v>251</v>
      </c>
      <c r="D28" s="73">
        <f>C27*$C$21</f>
        <v>45.832965268246554</v>
      </c>
      <c r="E28" s="73">
        <f t="shared" si="0"/>
        <v>71.48</v>
      </c>
      <c r="F28" s="73">
        <f t="shared" si="0"/>
        <v>111.47850395662329</v>
      </c>
      <c r="G28" s="73">
        <f t="shared" si="0"/>
        <v>173.85921718532279</v>
      </c>
      <c r="H28" s="73">
        <f t="shared" si="0"/>
        <v>271.14669041535302</v>
      </c>
      <c r="I28" s="73">
        <f t="shared" si="0"/>
        <v>422.87391438574758</v>
      </c>
      <c r="J28" s="73">
        <f t="shared" si="0"/>
        <v>659.50407579748651</v>
      </c>
      <c r="K28" s="73">
        <f t="shared" si="0"/>
        <v>1028.5468344040189</v>
      </c>
      <c r="L28" s="73">
        <f t="shared" si="0"/>
        <v>1604.0971229530046</v>
      </c>
      <c r="M28" s="73">
        <f t="shared" si="0"/>
        <v>2501.7116321757771</v>
      </c>
      <c r="N28" s="73">
        <f t="shared" si="0"/>
        <v>3901.6098221297966</v>
      </c>
    </row>
    <row r="29" spans="2:14" ht="18" customHeight="1" x14ac:dyDescent="0.35">
      <c r="B29" s="23" t="s">
        <v>252</v>
      </c>
      <c r="E29" s="73">
        <f>D28*$C$21</f>
        <v>29.388090448800988</v>
      </c>
      <c r="F29" s="73">
        <f t="shared" si="0"/>
        <v>45.832965268246554</v>
      </c>
      <c r="G29" s="73">
        <f t="shared" si="0"/>
        <v>71.48</v>
      </c>
      <c r="H29" s="73">
        <f t="shared" si="0"/>
        <v>111.47850395662329</v>
      </c>
      <c r="I29" s="73">
        <f t="shared" si="0"/>
        <v>173.85921718532279</v>
      </c>
      <c r="J29" s="73">
        <f t="shared" si="0"/>
        <v>271.14669041535302</v>
      </c>
      <c r="K29" s="73">
        <f t="shared" si="0"/>
        <v>422.87391438574758</v>
      </c>
      <c r="L29" s="73">
        <f t="shared" si="0"/>
        <v>659.50407579748651</v>
      </c>
      <c r="M29" s="73">
        <f t="shared" si="0"/>
        <v>1028.5468344040189</v>
      </c>
      <c r="N29" s="73">
        <f t="shared" si="0"/>
        <v>1604.0971229530046</v>
      </c>
    </row>
    <row r="30" spans="2:14" ht="18" customHeight="1" x14ac:dyDescent="0.35">
      <c r="B30" s="23" t="s">
        <v>253</v>
      </c>
      <c r="F30" s="73">
        <f>E29*$C$21</f>
        <v>18.843639183547619</v>
      </c>
      <c r="G30" s="73">
        <f t="shared" si="0"/>
        <v>29.388090448800991</v>
      </c>
      <c r="H30" s="73">
        <f t="shared" si="0"/>
        <v>45.832965268246561</v>
      </c>
      <c r="I30" s="73">
        <f t="shared" si="0"/>
        <v>71.480000000000018</v>
      </c>
      <c r="J30" s="73">
        <f t="shared" si="0"/>
        <v>111.47850395662331</v>
      </c>
      <c r="K30" s="73">
        <f t="shared" si="0"/>
        <v>173.85921718532282</v>
      </c>
      <c r="L30" s="73">
        <f t="shared" si="0"/>
        <v>271.14669041535302</v>
      </c>
      <c r="M30" s="73">
        <f t="shared" si="0"/>
        <v>422.87391438574758</v>
      </c>
      <c r="N30" s="73">
        <f t="shared" si="0"/>
        <v>659.50407579748651</v>
      </c>
    </row>
    <row r="31" spans="2:14" ht="18" customHeight="1" x14ac:dyDescent="0.35">
      <c r="B31" s="23" t="s">
        <v>254</v>
      </c>
      <c r="G31" s="73">
        <f>F30*$C$21</f>
        <v>12.08253861537364</v>
      </c>
      <c r="H31" s="73">
        <f t="shared" si="0"/>
        <v>18.843639183547619</v>
      </c>
      <c r="I31" s="73">
        <f t="shared" si="0"/>
        <v>29.388090448800991</v>
      </c>
      <c r="J31" s="73">
        <f t="shared" si="0"/>
        <v>45.832965268246561</v>
      </c>
      <c r="K31" s="73">
        <f t="shared" si="0"/>
        <v>71.480000000000018</v>
      </c>
      <c r="L31" s="73">
        <f t="shared" si="0"/>
        <v>111.47850395662331</v>
      </c>
      <c r="M31" s="73">
        <f t="shared" si="0"/>
        <v>173.85921718532282</v>
      </c>
      <c r="N31" s="73">
        <f t="shared" si="0"/>
        <v>271.14669041535302</v>
      </c>
    </row>
    <row r="32" spans="2:14" ht="18" customHeight="1" x14ac:dyDescent="0.35">
      <c r="B32" s="23" t="s">
        <v>255</v>
      </c>
      <c r="H32" s="73">
        <f>G31*$C$21</f>
        <v>7.747321946148122</v>
      </c>
      <c r="I32" s="73">
        <f t="shared" si="0"/>
        <v>12.08253861537364</v>
      </c>
      <c r="J32" s="73">
        <f t="shared" si="0"/>
        <v>18.843639183547619</v>
      </c>
      <c r="K32" s="73">
        <f t="shared" si="0"/>
        <v>29.388090448800991</v>
      </c>
      <c r="L32" s="73">
        <f t="shared" si="0"/>
        <v>45.832965268246561</v>
      </c>
      <c r="M32" s="73">
        <f t="shared" si="0"/>
        <v>71.480000000000018</v>
      </c>
      <c r="N32" s="73">
        <f t="shared" si="0"/>
        <v>111.47850395662331</v>
      </c>
    </row>
    <row r="33" spans="2:14" ht="18" customHeight="1" x14ac:dyDescent="0.35">
      <c r="B33" s="23" t="s">
        <v>256</v>
      </c>
      <c r="I33" s="73">
        <f>H32*$C$21</f>
        <v>4.9675816687147609</v>
      </c>
      <c r="J33" s="73">
        <f>I33*$C$20</f>
        <v>7.747321946148122</v>
      </c>
      <c r="K33" s="73">
        <f>J33*$C$20</f>
        <v>12.08253861537364</v>
      </c>
      <c r="L33" s="73">
        <f>K33*$C$20</f>
        <v>18.843639183547619</v>
      </c>
      <c r="M33" s="73">
        <f>L33*$C$20</f>
        <v>29.388090448800991</v>
      </c>
      <c r="N33" s="73">
        <f>M33*$C$20</f>
        <v>45.832965268246561</v>
      </c>
    </row>
    <row r="34" spans="2:14" ht="18" customHeight="1" x14ac:dyDescent="0.35">
      <c r="B34" s="23" t="s">
        <v>257</v>
      </c>
      <c r="J34" s="73">
        <f>I33*$C$21</f>
        <v>3.1852126201648274</v>
      </c>
      <c r="K34" s="73">
        <f>J34*$C$20</f>
        <v>4.9675816687147609</v>
      </c>
      <c r="L34" s="73">
        <f>K34*$C$20</f>
        <v>7.747321946148122</v>
      </c>
      <c r="M34" s="73">
        <f>L34*$C$20</f>
        <v>12.08253861537364</v>
      </c>
      <c r="N34" s="73">
        <f>M34*$C$20</f>
        <v>18.843639183547619</v>
      </c>
    </row>
    <row r="35" spans="2:14" ht="18" customHeight="1" x14ac:dyDescent="0.35">
      <c r="B35" s="23" t="s">
        <v>258</v>
      </c>
      <c r="K35" s="73">
        <f>J34*$C$21</f>
        <v>2.0423578538331717</v>
      </c>
      <c r="L35" s="73">
        <f>K35*$C$20</f>
        <v>3.1852126201648274</v>
      </c>
      <c r="M35" s="73">
        <f>L35*$C$20</f>
        <v>4.9675816687147609</v>
      </c>
      <c r="N35" s="73">
        <f>M35*$C$20</f>
        <v>7.747321946148122</v>
      </c>
    </row>
    <row r="36" spans="2:14" ht="18" customHeight="1" x14ac:dyDescent="0.35">
      <c r="B36" s="23" t="s">
        <v>259</v>
      </c>
      <c r="L36" s="73">
        <f>K35*$C$21</f>
        <v>1.3095595492454717</v>
      </c>
      <c r="M36" s="73">
        <f>L36*$C$20</f>
        <v>2.0423578538331717</v>
      </c>
      <c r="N36" s="73">
        <f>M36*$C$20</f>
        <v>3.1852126201648274</v>
      </c>
    </row>
    <row r="37" spans="2:14" ht="18" customHeight="1" x14ac:dyDescent="0.35">
      <c r="B37" s="23" t="s">
        <v>260</v>
      </c>
      <c r="M37" s="73">
        <f>L36*$C$21</f>
        <v>0.8396893863635746</v>
      </c>
      <c r="N37" s="73">
        <f>M37*$C$20</f>
        <v>1.3095595492454717</v>
      </c>
    </row>
    <row r="38" spans="2:14" ht="18" customHeight="1" x14ac:dyDescent="0.35">
      <c r="B38" s="23" t="s">
        <v>261</v>
      </c>
      <c r="N38" s="73">
        <f>M37*$C$21</f>
        <v>0.53840870846834044</v>
      </c>
    </row>
    <row r="39" spans="2:14" ht="4.5" customHeight="1" x14ac:dyDescent="0.35"/>
    <row r="40" spans="2:14" ht="4.5" customHeight="1" x14ac:dyDescent="0.35"/>
    <row r="41" spans="2:14" ht="29.4" thickBot="1" x14ac:dyDescent="0.4">
      <c r="B41" s="81"/>
      <c r="C41" s="82" t="s">
        <v>233</v>
      </c>
      <c r="D41" s="82" t="s">
        <v>234</v>
      </c>
      <c r="E41" s="82" t="s">
        <v>235</v>
      </c>
      <c r="F41" s="82" t="s">
        <v>236</v>
      </c>
      <c r="G41" s="82" t="s">
        <v>237</v>
      </c>
      <c r="H41" s="82" t="s">
        <v>238</v>
      </c>
      <c r="I41" s="82" t="s">
        <v>239</v>
      </c>
      <c r="J41" s="82" t="s">
        <v>240</v>
      </c>
      <c r="K41" s="82" t="s">
        <v>241</v>
      </c>
      <c r="L41" s="82" t="s">
        <v>242</v>
      </c>
      <c r="M41" s="82" t="s">
        <v>243</v>
      </c>
      <c r="N41" s="83" t="s">
        <v>244</v>
      </c>
    </row>
    <row r="42" spans="2:14" ht="18" customHeight="1" thickBot="1" x14ac:dyDescent="0.4">
      <c r="B42" s="23" t="s">
        <v>262</v>
      </c>
      <c r="C42" s="84">
        <f>IF(C27&gt;$C$15,MAX(C27*$C$9,($C$24*($C$22*D42+$C$23*D43))),($C$24*($C$22*D42+$C$23*D43)))</f>
        <v>1327.825823320881</v>
      </c>
      <c r="D42" s="73">
        <f t="shared" ref="D42:M47" si="1">$C$8+IF(D27&gt;$C$15,MAX(D27*$C$9,($C$24*($C$22*E42+$C$23*E43))),($C$24*($C$22*E42+$C$23*E43)))</f>
        <v>1810.9559490670945</v>
      </c>
      <c r="E42" s="73">
        <f t="shared" si="1"/>
        <v>2616.6173175435533</v>
      </c>
      <c r="F42" s="73">
        <f t="shared" si="1"/>
        <v>3971.7241364418737</v>
      </c>
      <c r="G42" s="73">
        <f t="shared" si="1"/>
        <v>6189.309988099204</v>
      </c>
      <c r="H42" s="73">
        <f t="shared" si="1"/>
        <v>9647.804016332746</v>
      </c>
      <c r="I42" s="73">
        <f t="shared" si="1"/>
        <v>15041.588854194955</v>
      </c>
      <c r="J42" s="73">
        <f t="shared" si="1"/>
        <v>23453.607102499336</v>
      </c>
      <c r="K42" s="73">
        <f t="shared" si="1"/>
        <v>36572.790224726356</v>
      </c>
      <c r="L42" s="73">
        <f t="shared" si="1"/>
        <v>57033.155468134995</v>
      </c>
      <c r="M42" s="73">
        <f t="shared" si="1"/>
        <v>88942.653338046686</v>
      </c>
      <c r="N42" s="73">
        <f t="shared" ref="N42:N53" si="2">$C$8+MAX(N27*$C$9,1000)</f>
        <v>138707.94551130931</v>
      </c>
    </row>
    <row r="43" spans="2:14" ht="18" customHeight="1" x14ac:dyDescent="0.35">
      <c r="B43" s="23" t="s">
        <v>251</v>
      </c>
      <c r="D43" s="73">
        <f t="shared" si="1"/>
        <v>1069.1364517307077</v>
      </c>
      <c r="E43" s="73">
        <f t="shared" si="1"/>
        <v>1338.7619738449903</v>
      </c>
      <c r="F43" s="73">
        <f t="shared" si="1"/>
        <v>1806.013215711987</v>
      </c>
      <c r="G43" s="73">
        <f t="shared" si="1"/>
        <v>2609.3347817624776</v>
      </c>
      <c r="H43" s="73">
        <f t="shared" si="1"/>
        <v>3971.7241364418737</v>
      </c>
      <c r="I43" s="73">
        <f t="shared" si="1"/>
        <v>6189.309988099204</v>
      </c>
      <c r="J43" s="73">
        <f t="shared" si="1"/>
        <v>9647.804016332746</v>
      </c>
      <c r="K43" s="73">
        <f t="shared" si="1"/>
        <v>15041.588854194955</v>
      </c>
      <c r="L43" s="73">
        <f t="shared" si="1"/>
        <v>23453.607102499336</v>
      </c>
      <c r="M43" s="73">
        <f t="shared" si="1"/>
        <v>36572.790224726356</v>
      </c>
      <c r="N43" s="73">
        <f t="shared" si="2"/>
        <v>57033.155468134995</v>
      </c>
    </row>
    <row r="44" spans="2:14" ht="18" customHeight="1" x14ac:dyDescent="0.35">
      <c r="B44" s="23" t="s">
        <v>252</v>
      </c>
      <c r="E44" s="73">
        <f t="shared" si="1"/>
        <v>929.8663303825565</v>
      </c>
      <c r="F44" s="73">
        <f t="shared" si="1"/>
        <v>1076.5066666824741</v>
      </c>
      <c r="G44" s="73">
        <f t="shared" si="1"/>
        <v>1335.1654638581153</v>
      </c>
      <c r="H44" s="73">
        <f t="shared" si="1"/>
        <v>1793.1179683080697</v>
      </c>
      <c r="I44" s="73">
        <f t="shared" si="1"/>
        <v>2595.0345869472835</v>
      </c>
      <c r="J44" s="73">
        <f t="shared" si="1"/>
        <v>3971.7241364418737</v>
      </c>
      <c r="K44" s="73">
        <f t="shared" si="1"/>
        <v>6189.309988099204</v>
      </c>
      <c r="L44" s="73">
        <f t="shared" si="1"/>
        <v>9647.804016332746</v>
      </c>
      <c r="M44" s="73">
        <f t="shared" si="1"/>
        <v>15041.588854194955</v>
      </c>
      <c r="N44" s="73">
        <f t="shared" si="2"/>
        <v>23453.607102499336</v>
      </c>
    </row>
    <row r="45" spans="2:14" ht="18" customHeight="1" x14ac:dyDescent="0.35">
      <c r="B45" s="23" t="s">
        <v>253</v>
      </c>
      <c r="F45" s="73">
        <f t="shared" si="1"/>
        <v>868.92169952056008</v>
      </c>
      <c r="G45" s="73">
        <f t="shared" si="1"/>
        <v>945.46296071376298</v>
      </c>
      <c r="H45" s="73">
        <f t="shared" si="1"/>
        <v>1079.2674128468398</v>
      </c>
      <c r="I45" s="73">
        <f t="shared" si="1"/>
        <v>1322.4554818984632</v>
      </c>
      <c r="J45" s="73">
        <f t="shared" si="1"/>
        <v>1767.7964929855139</v>
      </c>
      <c r="K45" s="73">
        <f t="shared" si="1"/>
        <v>2570.7053577379993</v>
      </c>
      <c r="L45" s="73">
        <f t="shared" si="1"/>
        <v>3971.7241364418737</v>
      </c>
      <c r="M45" s="73">
        <f t="shared" si="1"/>
        <v>6189.309988099204</v>
      </c>
      <c r="N45" s="73">
        <f t="shared" si="2"/>
        <v>9647.804016332746</v>
      </c>
    </row>
    <row r="46" spans="2:14" ht="18" customHeight="1" x14ac:dyDescent="0.35">
      <c r="B46" s="23" t="s">
        <v>254</v>
      </c>
      <c r="G46" s="73">
        <f t="shared" si="1"/>
        <v>853.7781710719554</v>
      </c>
      <c r="H46" s="73">
        <f t="shared" si="1"/>
        <v>894.58432966109797</v>
      </c>
      <c r="I46" s="73">
        <f t="shared" si="1"/>
        <v>959.34939624152025</v>
      </c>
      <c r="J46" s="73">
        <f t="shared" si="1"/>
        <v>1074.6879344884912</v>
      </c>
      <c r="K46" s="73">
        <f t="shared" si="1"/>
        <v>1294.8422711301462</v>
      </c>
      <c r="L46" s="73">
        <f t="shared" si="1"/>
        <v>1724.7165220479753</v>
      </c>
      <c r="M46" s="73">
        <f t="shared" si="1"/>
        <v>2549.8084212996609</v>
      </c>
      <c r="N46" s="73">
        <f t="shared" si="2"/>
        <v>3971.7241364418737</v>
      </c>
    </row>
    <row r="47" spans="2:14" ht="18" customHeight="1" x14ac:dyDescent="0.35">
      <c r="B47" s="23" t="s">
        <v>255</v>
      </c>
      <c r="H47" s="73">
        <f t="shared" si="1"/>
        <v>862.9826337359425</v>
      </c>
      <c r="I47" s="73">
        <f t="shared" si="1"/>
        <v>889.38838362693639</v>
      </c>
      <c r="J47" s="73">
        <f t="shared" si="1"/>
        <v>922.41517345093337</v>
      </c>
      <c r="K47" s="73">
        <f t="shared" si="1"/>
        <v>970.78909004919933</v>
      </c>
      <c r="L47" s="73">
        <f t="shared" si="1"/>
        <v>1056.291208874117</v>
      </c>
      <c r="M47" s="73">
        <f t="shared" si="1"/>
        <v>1233.3540706622464</v>
      </c>
      <c r="N47" s="73">
        <f t="shared" si="2"/>
        <v>1638.076278231852</v>
      </c>
    </row>
    <row r="48" spans="2:14" ht="18" customHeight="1" x14ac:dyDescent="0.35">
      <c r="B48" s="23" t="s">
        <v>256</v>
      </c>
      <c r="I48" s="73">
        <f>$C$8+IF(I33&gt;$C$15,MAX(I33*$C$9,($C$24*($C$22*J48+$C$23*J49))),($C$24*($C$22*J48+$C$23*J49)))</f>
        <v>882.95949353457775</v>
      </c>
      <c r="J48" s="73">
        <f>$C$8+IF(J33&gt;$C$15,MAX(J33*$C$9,($C$24*($C$22*K48+$C$23*K49))),($C$24*($C$22*K48+$C$23*K49)))</f>
        <v>906.33525009954576</v>
      </c>
      <c r="K48" s="73">
        <f>$C$8+IF(K33&gt;$C$15,MAX(K33*$C$9,($C$24*($C$22*L48+$C$23*L49))),($C$24*($C$22*L48+$C$23*L49)))</f>
        <v>930.5700271515733</v>
      </c>
      <c r="L48" s="73">
        <f>$C$8+IF(L33&gt;$C$15,MAX(L33*$C$9,($C$24*($C$22*M48+$C$23*M49))),($C$24*($C$22*M48+$C$23*M49)))</f>
        <v>955.69539227629707</v>
      </c>
      <c r="M48" s="73">
        <f>$C$8+IF(M33&gt;$C$15,MAX(M33*$C$9,($C$24*($C$22*N48+$C$23*N49))),($C$24*($C$22*N48+$C$23*N49)))</f>
        <v>981.74407311604386</v>
      </c>
      <c r="N48" s="73">
        <f t="shared" si="2"/>
        <v>1008.75</v>
      </c>
    </row>
    <row r="49" spans="2:14" ht="18" customHeight="1" x14ac:dyDescent="0.35">
      <c r="B49" s="23" t="s">
        <v>257</v>
      </c>
      <c r="J49" s="73">
        <f>$C$8+IF(J34&gt;$C$15,MAX(J34*$C$9,($C$24*($C$22*K49+$C$23*K50))),($C$24*($C$22*K49+$C$23*K50)))</f>
        <v>906.33525009954576</v>
      </c>
      <c r="K49" s="73">
        <f>$C$8+IF(K34&gt;$C$15,MAX(K34*$C$9,($C$24*($C$22*L49+$C$23*L50))),($C$24*($C$22*L49+$C$23*L50)))</f>
        <v>930.5700271515733</v>
      </c>
      <c r="L49" s="73">
        <f>$C$8+IF(L34&gt;$C$15,MAX(L34*$C$9,($C$24*($C$22*M49+$C$23*M50))),($C$24*($C$22*M49+$C$23*M50)))</f>
        <v>955.69539227629707</v>
      </c>
      <c r="M49" s="73">
        <f>$C$8+IF(M34&gt;$C$15,MAX(M34*$C$9,($C$24*($C$22*N49+$C$23*N50))),($C$24*($C$22*N49+$C$23*N50)))</f>
        <v>981.74407311604386</v>
      </c>
      <c r="N49" s="73">
        <f t="shared" si="2"/>
        <v>1008.75</v>
      </c>
    </row>
    <row r="50" spans="2:14" ht="18" customHeight="1" x14ac:dyDescent="0.35">
      <c r="B50" s="23" t="s">
        <v>258</v>
      </c>
      <c r="K50" s="73">
        <f>$C$8+IF(K35&gt;$C$15,MAX(K35*$C$9,($C$24*($C$22*L50+$C$23*L51))),($C$24*($C$22*L50+$C$23*L51)))</f>
        <v>930.5700271515733</v>
      </c>
      <c r="L50" s="73">
        <f>$C$8+IF(L35&gt;$C$15,MAX(L35*$C$9,($C$24*($C$22*M50+$C$23*M51))),($C$24*($C$22*M50+$C$23*M51)))</f>
        <v>955.69539227629707</v>
      </c>
      <c r="M50" s="73">
        <f>$C$8+IF(M35&gt;$C$15,MAX(M35*$C$9,($C$24*($C$22*N50+$C$23*N51))),($C$24*($C$22*N50+$C$23*N51)))</f>
        <v>981.74407311604386</v>
      </c>
      <c r="N50" s="73">
        <f t="shared" si="2"/>
        <v>1008.75</v>
      </c>
    </row>
    <row r="51" spans="2:14" ht="18" customHeight="1" x14ac:dyDescent="0.35">
      <c r="B51" s="23" t="s">
        <v>259</v>
      </c>
      <c r="L51" s="73">
        <f>$C$8+IF(L36&gt;$C$15,MAX(L36*$C$9,($C$24*($C$22*M51+$C$23*M52))),($C$24*($C$22*M51+$C$23*M52)))</f>
        <v>955.69539227629707</v>
      </c>
      <c r="M51" s="73">
        <f>$C$8+IF(M36&gt;$C$15,MAX(M36*$C$9,($C$24*($C$22*N51+$C$23*N52))),($C$24*($C$22*N51+$C$23*N52)))</f>
        <v>981.74407311604386</v>
      </c>
      <c r="N51" s="73">
        <f t="shared" si="2"/>
        <v>1008.75</v>
      </c>
    </row>
    <row r="52" spans="2:14" ht="18" customHeight="1" x14ac:dyDescent="0.35">
      <c r="B52" s="23" t="s">
        <v>260</v>
      </c>
      <c r="M52" s="73">
        <f>$C$8+IF(M37&gt;$C$15,MAX(M37*$C$9,($C$24*($C$22*N52+$C$23*N53))),($C$24*($C$22*N52+$C$23*N53)))</f>
        <v>981.74407311604386</v>
      </c>
      <c r="N52" s="73">
        <f t="shared" si="2"/>
        <v>1008.75</v>
      </c>
    </row>
    <row r="53" spans="2:14" ht="18" customHeight="1" x14ac:dyDescent="0.35">
      <c r="B53" s="23" t="s">
        <v>261</v>
      </c>
      <c r="N53" s="73">
        <f t="shared" si="2"/>
        <v>1008.75</v>
      </c>
    </row>
    <row r="55" spans="2:14" ht="4.5" customHeight="1" x14ac:dyDescent="0.35"/>
    <row r="56" spans="2:14" ht="19.5" customHeight="1" x14ac:dyDescent="0.35">
      <c r="B56" s="117" t="s">
        <v>245</v>
      </c>
      <c r="C56" s="117"/>
      <c r="D56" s="117"/>
    </row>
    <row r="57" spans="2:14" ht="19.5" customHeight="1" x14ac:dyDescent="0.35">
      <c r="B57" s="2" t="s">
        <v>272</v>
      </c>
      <c r="C57" s="31">
        <f>'Straight Bond'!C33</f>
        <v>760.97642225348511</v>
      </c>
      <c r="D57" s="23"/>
    </row>
    <row r="58" spans="2:14" ht="19.5" customHeight="1" thickBot="1" x14ac:dyDescent="0.4">
      <c r="B58" s="2" t="s">
        <v>246</v>
      </c>
      <c r="C58" s="31">
        <f>C42</f>
        <v>1327.825823320881</v>
      </c>
      <c r="D58" s="3"/>
    </row>
    <row r="59" spans="2:14" ht="19.5" customHeight="1" thickBot="1" x14ac:dyDescent="0.4">
      <c r="B59" s="76" t="s">
        <v>247</v>
      </c>
      <c r="C59" s="77">
        <f>C58-C57</f>
        <v>566.84940106739589</v>
      </c>
      <c r="D59" s="3"/>
    </row>
    <row r="60" spans="2:14" ht="19.5" customHeight="1" x14ac:dyDescent="0.35">
      <c r="B60" s="2" t="s">
        <v>248</v>
      </c>
      <c r="C60" s="74">
        <f>C57/C58</f>
        <v>0.57309958044820186</v>
      </c>
    </row>
    <row r="61" spans="2:14" ht="19.5" customHeight="1" x14ac:dyDescent="0.35">
      <c r="B61" s="2" t="s">
        <v>35</v>
      </c>
      <c r="C61" s="74">
        <f>C59/C58</f>
        <v>0.42690041955179814</v>
      </c>
    </row>
  </sheetData>
  <mergeCells count="5">
    <mergeCell ref="B2:N2"/>
    <mergeCell ref="B5:D5"/>
    <mergeCell ref="B18:D18"/>
    <mergeCell ref="B56:D56"/>
    <mergeCell ref="B1:D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5995E-456D-46E4-915A-4D0DA0C757E4}">
  <dimension ref="B1:J1258"/>
  <sheetViews>
    <sheetView showGridLines="0" workbookViewId="0">
      <selection activeCell="G3" sqref="G3"/>
    </sheetView>
  </sheetViews>
  <sheetFormatPr defaultRowHeight="14.4" x14ac:dyDescent="0.35"/>
  <cols>
    <col min="1" max="1" width="8.88671875" style="1"/>
    <col min="2" max="2" width="9.88671875" style="1" bestFit="1" customWidth="1"/>
    <col min="3" max="3" width="9.109375" style="1" bestFit="1" customWidth="1"/>
    <col min="4" max="5" width="8.88671875" style="1"/>
    <col min="6" max="6" width="12.33203125" style="1" bestFit="1" customWidth="1"/>
    <col min="7" max="8" width="8.88671875" style="1"/>
    <col min="9" max="9" width="12.88671875" style="1" bestFit="1" customWidth="1"/>
    <col min="10" max="16384" width="8.88671875" style="1"/>
  </cols>
  <sheetData>
    <row r="1" spans="2:10" ht="15" thickBot="1" x14ac:dyDescent="0.4">
      <c r="B1" s="108" t="s">
        <v>293</v>
      </c>
      <c r="C1" s="108"/>
      <c r="D1" s="108"/>
    </row>
    <row r="2" spans="2:10" x14ac:dyDescent="0.35">
      <c r="B2" s="12" t="s">
        <v>46</v>
      </c>
      <c r="C2" s="13" t="s">
        <v>47</v>
      </c>
      <c r="D2" s="13" t="s">
        <v>49</v>
      </c>
      <c r="F2" s="37" t="s">
        <v>48</v>
      </c>
      <c r="G2" s="38" t="s">
        <v>50</v>
      </c>
      <c r="I2" s="39" t="s">
        <v>51</v>
      </c>
      <c r="J2" s="40">
        <v>365</v>
      </c>
    </row>
    <row r="3" spans="2:10" ht="15" thickBot="1" x14ac:dyDescent="0.4">
      <c r="B3" s="10">
        <v>46178</v>
      </c>
      <c r="C3" s="11">
        <v>71.48</v>
      </c>
      <c r="F3" s="35">
        <f>_xlfn.STDEV.S(D3:D1258)</f>
        <v>4.0243331498014991E-2</v>
      </c>
      <c r="G3" s="36">
        <f>F3*J3^0.5</f>
        <v>0.63884308243488064</v>
      </c>
      <c r="I3" s="41" t="s">
        <v>52</v>
      </c>
      <c r="J3" s="42">
        <v>252</v>
      </c>
    </row>
    <row r="4" spans="2:10" x14ac:dyDescent="0.35">
      <c r="B4" s="10">
        <v>46177</v>
      </c>
      <c r="C4" s="11">
        <v>72.290000000000006</v>
      </c>
      <c r="D4" s="43">
        <f t="shared" ref="D4:D67" si="0">IFERROR(LN(C3/C4),"")</f>
        <v>-1.1268116720978457E-2</v>
      </c>
    </row>
    <row r="5" spans="2:10" x14ac:dyDescent="0.35">
      <c r="B5" s="10">
        <v>46176</v>
      </c>
      <c r="C5" s="11">
        <v>70.709999999999994</v>
      </c>
      <c r="D5" s="43">
        <f t="shared" si="0"/>
        <v>2.2098801396056501E-2</v>
      </c>
    </row>
    <row r="6" spans="2:10" x14ac:dyDescent="0.35">
      <c r="B6" s="10">
        <v>46175</v>
      </c>
      <c r="C6" s="11">
        <v>70.91</v>
      </c>
      <c r="D6" s="43">
        <f t="shared" si="0"/>
        <v>-2.8244616997558725E-3</v>
      </c>
    </row>
    <row r="7" spans="2:10" x14ac:dyDescent="0.35">
      <c r="B7" s="10">
        <v>46174</v>
      </c>
      <c r="C7" s="11">
        <v>73.680000000000007</v>
      </c>
      <c r="D7" s="43">
        <f t="shared" si="0"/>
        <v>-3.8319924631146279E-2</v>
      </c>
    </row>
    <row r="8" spans="2:10" x14ac:dyDescent="0.35">
      <c r="B8" s="10">
        <v>46171</v>
      </c>
      <c r="C8" s="11">
        <v>76.760000000000005</v>
      </c>
      <c r="D8" s="43">
        <f t="shared" si="0"/>
        <v>-4.0952279192447774E-2</v>
      </c>
    </row>
    <row r="9" spans="2:10" x14ac:dyDescent="0.35">
      <c r="B9" s="10">
        <v>46170</v>
      </c>
      <c r="C9" s="11">
        <v>76.81</v>
      </c>
      <c r="D9" s="43">
        <f t="shared" si="0"/>
        <v>-6.5116887109136119E-4</v>
      </c>
    </row>
    <row r="10" spans="2:10" x14ac:dyDescent="0.35">
      <c r="B10" s="10">
        <v>46169</v>
      </c>
      <c r="C10" s="11">
        <v>77.150000000000006</v>
      </c>
      <c r="D10" s="43">
        <f t="shared" si="0"/>
        <v>-4.4167387985793276E-3</v>
      </c>
    </row>
    <row r="11" spans="2:10" x14ac:dyDescent="0.35">
      <c r="B11" s="10">
        <v>46168</v>
      </c>
      <c r="C11" s="11">
        <v>76.290000000000006</v>
      </c>
      <c r="D11" s="43">
        <f t="shared" si="0"/>
        <v>1.1209710707031792E-2</v>
      </c>
    </row>
    <row r="12" spans="2:10" x14ac:dyDescent="0.35">
      <c r="B12" s="10">
        <v>46164</v>
      </c>
      <c r="C12" s="11">
        <v>76.94</v>
      </c>
      <c r="D12" s="43">
        <f t="shared" si="0"/>
        <v>-8.4840292220110022E-3</v>
      </c>
    </row>
    <row r="13" spans="2:10" x14ac:dyDescent="0.35">
      <c r="B13" s="10">
        <v>46163</v>
      </c>
      <c r="C13" s="11">
        <v>78.06</v>
      </c>
      <c r="D13" s="43">
        <f t="shared" si="0"/>
        <v>-1.445186442831994E-2</v>
      </c>
    </row>
    <row r="14" spans="2:10" x14ac:dyDescent="0.35">
      <c r="B14" s="10">
        <v>46162</v>
      </c>
      <c r="C14" s="11">
        <v>78.77</v>
      </c>
      <c r="D14" s="43">
        <f t="shared" si="0"/>
        <v>-9.0544519627639777E-3</v>
      </c>
    </row>
    <row r="15" spans="2:10" x14ac:dyDescent="0.35">
      <c r="B15" s="10">
        <v>46161</v>
      </c>
      <c r="C15" s="11">
        <v>76.45</v>
      </c>
      <c r="D15" s="43">
        <f t="shared" si="0"/>
        <v>2.9895281340161523E-2</v>
      </c>
    </row>
    <row r="16" spans="2:10" x14ac:dyDescent="0.35">
      <c r="B16" s="10">
        <v>46160</v>
      </c>
      <c r="C16" s="11">
        <v>75.180000000000007</v>
      </c>
      <c r="D16" s="43">
        <f t="shared" si="0"/>
        <v>1.6751694239039376E-2</v>
      </c>
    </row>
    <row r="17" spans="2:4" x14ac:dyDescent="0.35">
      <c r="B17" s="10">
        <v>46157</v>
      </c>
      <c r="C17" s="11">
        <v>75.849999999999994</v>
      </c>
      <c r="D17" s="43">
        <f t="shared" si="0"/>
        <v>-8.8724676585092109E-3</v>
      </c>
    </row>
    <row r="18" spans="2:4" x14ac:dyDescent="0.35">
      <c r="B18" s="10">
        <v>46156</v>
      </c>
      <c r="C18" s="11">
        <v>78.64</v>
      </c>
      <c r="D18" s="43">
        <f t="shared" si="0"/>
        <v>-3.6122770044369951E-2</v>
      </c>
    </row>
    <row r="19" spans="2:4" x14ac:dyDescent="0.35">
      <c r="B19" s="10">
        <v>46155</v>
      </c>
      <c r="C19" s="11">
        <v>77.22</v>
      </c>
      <c r="D19" s="43">
        <f t="shared" si="0"/>
        <v>1.8221985002820944E-2</v>
      </c>
    </row>
    <row r="20" spans="2:4" x14ac:dyDescent="0.35">
      <c r="B20" s="10">
        <v>46154</v>
      </c>
      <c r="C20" s="11">
        <v>74.81</v>
      </c>
      <c r="D20" s="43">
        <f t="shared" si="0"/>
        <v>3.1706924951776704E-2</v>
      </c>
    </row>
    <row r="21" spans="2:4" x14ac:dyDescent="0.35">
      <c r="B21" s="10">
        <v>46153</v>
      </c>
      <c r="C21" s="11">
        <v>74.56</v>
      </c>
      <c r="D21" s="43">
        <f t="shared" si="0"/>
        <v>3.3473955069777948E-3</v>
      </c>
    </row>
    <row r="22" spans="2:4" x14ac:dyDescent="0.35">
      <c r="B22" s="10">
        <v>46150</v>
      </c>
      <c r="C22" s="11">
        <v>76.91</v>
      </c>
      <c r="D22" s="43">
        <f t="shared" si="0"/>
        <v>-3.1031736691626566E-2</v>
      </c>
    </row>
    <row r="23" spans="2:4" x14ac:dyDescent="0.35">
      <c r="B23" s="10">
        <v>46149</v>
      </c>
      <c r="C23" s="11">
        <v>74.290000000000006</v>
      </c>
      <c r="D23" s="43">
        <f t="shared" si="0"/>
        <v>3.4659553905247428E-2</v>
      </c>
    </row>
    <row r="24" spans="2:4" x14ac:dyDescent="0.35">
      <c r="B24" s="10">
        <v>46148</v>
      </c>
      <c r="C24" s="11">
        <v>74.84</v>
      </c>
      <c r="D24" s="43">
        <f t="shared" si="0"/>
        <v>-7.3761482421739683E-3</v>
      </c>
    </row>
    <row r="25" spans="2:4" x14ac:dyDescent="0.35">
      <c r="B25" s="10">
        <v>46147</v>
      </c>
      <c r="C25" s="11">
        <v>77.09</v>
      </c>
      <c r="D25" s="43">
        <f t="shared" si="0"/>
        <v>-2.9621069065281981E-2</v>
      </c>
    </row>
    <row r="26" spans="2:4" x14ac:dyDescent="0.35">
      <c r="B26" s="10">
        <v>46146</v>
      </c>
      <c r="C26" s="11">
        <v>66.05</v>
      </c>
      <c r="D26" s="43">
        <f t="shared" si="0"/>
        <v>0.1545615395028366</v>
      </c>
    </row>
    <row r="27" spans="2:4" x14ac:dyDescent="0.35">
      <c r="B27" s="10">
        <v>46143</v>
      </c>
      <c r="C27" s="11">
        <v>63.35</v>
      </c>
      <c r="D27" s="43">
        <f t="shared" si="0"/>
        <v>4.1737124201186103E-2</v>
      </c>
    </row>
    <row r="28" spans="2:4" x14ac:dyDescent="0.35">
      <c r="B28" s="10">
        <v>46142</v>
      </c>
      <c r="C28" s="11">
        <v>63.97</v>
      </c>
      <c r="D28" s="43">
        <f t="shared" si="0"/>
        <v>-9.7393166948981907E-3</v>
      </c>
    </row>
    <row r="29" spans="2:4" x14ac:dyDescent="0.35">
      <c r="B29" s="10">
        <v>46141</v>
      </c>
      <c r="C29" s="11">
        <v>59.58</v>
      </c>
      <c r="D29" s="43">
        <f t="shared" si="0"/>
        <v>7.1094276176910123E-2</v>
      </c>
    </row>
    <row r="30" spans="2:4" x14ac:dyDescent="0.35">
      <c r="B30" s="10">
        <v>46140</v>
      </c>
      <c r="C30" s="11">
        <v>60.69</v>
      </c>
      <c r="D30" s="43">
        <f t="shared" si="0"/>
        <v>-1.8458992562627591E-2</v>
      </c>
    </row>
    <row r="31" spans="2:4" x14ac:dyDescent="0.35">
      <c r="B31" s="10">
        <v>46139</v>
      </c>
      <c r="C31" s="11">
        <v>61.6</v>
      </c>
      <c r="D31" s="43">
        <f t="shared" si="0"/>
        <v>-1.4882930691710415E-2</v>
      </c>
    </row>
    <row r="32" spans="2:4" x14ac:dyDescent="0.35">
      <c r="B32" s="10">
        <v>46136</v>
      </c>
      <c r="C32" s="11">
        <v>65.319999999999993</v>
      </c>
      <c r="D32" s="43">
        <f t="shared" si="0"/>
        <v>-5.8636397562790085E-2</v>
      </c>
    </row>
    <row r="33" spans="2:4" x14ac:dyDescent="0.35">
      <c r="B33" s="10">
        <v>46135</v>
      </c>
      <c r="C33" s="11">
        <v>65.48</v>
      </c>
      <c r="D33" s="43">
        <f t="shared" si="0"/>
        <v>-2.4464844006699322E-3</v>
      </c>
    </row>
    <row r="34" spans="2:4" x14ac:dyDescent="0.35">
      <c r="B34" s="10">
        <v>46134</v>
      </c>
      <c r="C34" s="11">
        <v>66.25</v>
      </c>
      <c r="D34" s="43">
        <f t="shared" si="0"/>
        <v>-1.1690712363397401E-2</v>
      </c>
    </row>
    <row r="35" spans="2:4" x14ac:dyDescent="0.35">
      <c r="B35" s="10">
        <v>46133</v>
      </c>
      <c r="C35" s="11">
        <v>65.8</v>
      </c>
      <c r="D35" s="43">
        <f t="shared" si="0"/>
        <v>6.8156265350600388E-3</v>
      </c>
    </row>
    <row r="36" spans="2:4" x14ac:dyDescent="0.35">
      <c r="B36" s="10">
        <v>46132</v>
      </c>
      <c r="C36" s="11">
        <v>66.14</v>
      </c>
      <c r="D36" s="43">
        <f t="shared" si="0"/>
        <v>-5.1538692223752269E-3</v>
      </c>
    </row>
    <row r="37" spans="2:4" x14ac:dyDescent="0.35">
      <c r="B37" s="10">
        <v>46129</v>
      </c>
      <c r="C37" s="11">
        <v>66.709999999999994</v>
      </c>
      <c r="D37" s="43">
        <f t="shared" si="0"/>
        <v>-8.5811591677772015E-3</v>
      </c>
    </row>
    <row r="38" spans="2:4" x14ac:dyDescent="0.35">
      <c r="B38" s="10">
        <v>46128</v>
      </c>
      <c r="C38" s="11">
        <v>65.42</v>
      </c>
      <c r="D38" s="43">
        <f t="shared" si="0"/>
        <v>1.95268446111861E-2</v>
      </c>
    </row>
    <row r="39" spans="2:4" x14ac:dyDescent="0.35">
      <c r="B39" s="10">
        <v>46127</v>
      </c>
      <c r="C39" s="11">
        <v>65.37</v>
      </c>
      <c r="D39" s="43">
        <f t="shared" si="0"/>
        <v>7.6458448559957066E-4</v>
      </c>
    </row>
    <row r="40" spans="2:4" x14ac:dyDescent="0.35">
      <c r="B40" s="10">
        <v>46126</v>
      </c>
      <c r="C40" s="11">
        <v>66.349999999999994</v>
      </c>
      <c r="D40" s="43">
        <f t="shared" si="0"/>
        <v>-1.4880323153578125E-2</v>
      </c>
    </row>
    <row r="41" spans="2:4" x14ac:dyDescent="0.35">
      <c r="B41" s="10">
        <v>46125</v>
      </c>
      <c r="C41" s="11">
        <v>66.72</v>
      </c>
      <c r="D41" s="43">
        <f t="shared" si="0"/>
        <v>-5.5609972722748232E-3</v>
      </c>
    </row>
    <row r="42" spans="2:4" x14ac:dyDescent="0.35">
      <c r="B42" s="10">
        <v>46122</v>
      </c>
      <c r="C42" s="11">
        <v>65.010000000000005</v>
      </c>
      <c r="D42" s="43">
        <f t="shared" si="0"/>
        <v>2.5963653834113951E-2</v>
      </c>
    </row>
    <row r="43" spans="2:4" x14ac:dyDescent="0.35">
      <c r="B43" s="10">
        <v>46121</v>
      </c>
      <c r="C43" s="11">
        <v>64.59</v>
      </c>
      <c r="D43" s="43">
        <f t="shared" si="0"/>
        <v>6.4815041719961065E-3</v>
      </c>
    </row>
    <row r="44" spans="2:4" x14ac:dyDescent="0.35">
      <c r="B44" s="10">
        <v>46120</v>
      </c>
      <c r="C44" s="11">
        <v>65.77</v>
      </c>
      <c r="D44" s="43">
        <f t="shared" si="0"/>
        <v>-1.8104207268878215E-2</v>
      </c>
    </row>
    <row r="45" spans="2:4" x14ac:dyDescent="0.35">
      <c r="B45" s="10">
        <v>46119</v>
      </c>
      <c r="C45" s="11">
        <v>65.48</v>
      </c>
      <c r="D45" s="43">
        <f t="shared" si="0"/>
        <v>4.4190548103254105E-3</v>
      </c>
    </row>
    <row r="46" spans="2:4" x14ac:dyDescent="0.35">
      <c r="B46" s="10">
        <v>46118</v>
      </c>
      <c r="C46" s="11">
        <v>64.94</v>
      </c>
      <c r="D46" s="43">
        <f t="shared" si="0"/>
        <v>8.2809858282342844E-3</v>
      </c>
    </row>
    <row r="47" spans="2:4" x14ac:dyDescent="0.35">
      <c r="B47" s="10">
        <v>46114</v>
      </c>
      <c r="C47" s="11">
        <v>66.73</v>
      </c>
      <c r="D47" s="43">
        <f t="shared" si="0"/>
        <v>-2.7190860240815403E-2</v>
      </c>
    </row>
    <row r="48" spans="2:4" x14ac:dyDescent="0.35">
      <c r="B48" s="10">
        <v>46113</v>
      </c>
      <c r="C48" s="11">
        <v>66.61</v>
      </c>
      <c r="D48" s="43">
        <f t="shared" si="0"/>
        <v>1.7999104904271822E-3</v>
      </c>
    </row>
    <row r="49" spans="2:4" x14ac:dyDescent="0.35">
      <c r="B49" s="10">
        <v>46112</v>
      </c>
      <c r="C49" s="11">
        <v>65.91</v>
      </c>
      <c r="D49" s="43">
        <f t="shared" si="0"/>
        <v>1.0564541360459669E-2</v>
      </c>
    </row>
    <row r="50" spans="2:4" x14ac:dyDescent="0.35">
      <c r="B50" s="10">
        <v>46111</v>
      </c>
      <c r="C50" s="11">
        <v>62.97</v>
      </c>
      <c r="D50" s="43">
        <f t="shared" si="0"/>
        <v>4.5631752563977203E-2</v>
      </c>
    </row>
    <row r="51" spans="2:4" x14ac:dyDescent="0.35">
      <c r="B51" s="10">
        <v>46108</v>
      </c>
      <c r="C51" s="11">
        <v>62.5</v>
      </c>
      <c r="D51" s="43">
        <f t="shared" si="0"/>
        <v>7.4918657582954684E-3</v>
      </c>
    </row>
    <row r="52" spans="2:4" x14ac:dyDescent="0.35">
      <c r="B52" s="10">
        <v>46107</v>
      </c>
      <c r="C52" s="11">
        <v>63.48</v>
      </c>
      <c r="D52" s="43">
        <f t="shared" si="0"/>
        <v>-1.5558338915852472E-2</v>
      </c>
    </row>
    <row r="53" spans="2:4" x14ac:dyDescent="0.35">
      <c r="B53" s="10">
        <v>46106</v>
      </c>
      <c r="C53" s="11">
        <v>62.39</v>
      </c>
      <c r="D53" s="43">
        <f t="shared" si="0"/>
        <v>1.7319889535513344E-2</v>
      </c>
    </row>
    <row r="54" spans="2:4" x14ac:dyDescent="0.35">
      <c r="B54" s="10">
        <v>46105</v>
      </c>
      <c r="C54" s="11">
        <v>60.02</v>
      </c>
      <c r="D54" s="43">
        <f t="shared" si="0"/>
        <v>3.8727166110473964E-2</v>
      </c>
    </row>
    <row r="55" spans="2:4" x14ac:dyDescent="0.35">
      <c r="B55" s="10">
        <v>46104</v>
      </c>
      <c r="C55" s="11">
        <v>60.95</v>
      </c>
      <c r="D55" s="43">
        <f t="shared" si="0"/>
        <v>-1.5376015915059433E-2</v>
      </c>
    </row>
    <row r="56" spans="2:4" x14ac:dyDescent="0.35">
      <c r="B56" s="10">
        <v>46101</v>
      </c>
      <c r="C56" s="11">
        <v>61.7</v>
      </c>
      <c r="D56" s="43">
        <f t="shared" si="0"/>
        <v>-1.2230074984061626E-2</v>
      </c>
    </row>
    <row r="57" spans="2:4" x14ac:dyDescent="0.35">
      <c r="B57" s="10">
        <v>46100</v>
      </c>
      <c r="C57" s="11">
        <v>62.95</v>
      </c>
      <c r="D57" s="43">
        <f t="shared" si="0"/>
        <v>-2.005682957901405E-2</v>
      </c>
    </row>
    <row r="58" spans="2:4" x14ac:dyDescent="0.35">
      <c r="B58" s="10">
        <v>46099</v>
      </c>
      <c r="C58" s="11">
        <v>62.19</v>
      </c>
      <c r="D58" s="43">
        <f t="shared" si="0"/>
        <v>1.2146545374558242E-2</v>
      </c>
    </row>
    <row r="59" spans="2:4" x14ac:dyDescent="0.35">
      <c r="B59" s="10">
        <v>46098</v>
      </c>
      <c r="C59" s="11">
        <v>62.13</v>
      </c>
      <c r="D59" s="43">
        <f t="shared" si="0"/>
        <v>9.6525104019536351E-4</v>
      </c>
    </row>
    <row r="60" spans="2:4" x14ac:dyDescent="0.35">
      <c r="B60" s="10">
        <v>46097</v>
      </c>
      <c r="C60" s="11">
        <v>60.83</v>
      </c>
      <c r="D60" s="43">
        <f t="shared" si="0"/>
        <v>2.1145875742988512E-2</v>
      </c>
    </row>
    <row r="61" spans="2:4" x14ac:dyDescent="0.35">
      <c r="B61" s="10">
        <v>46094</v>
      </c>
      <c r="C61" s="11">
        <v>60.06</v>
      </c>
      <c r="D61" s="43">
        <f t="shared" si="0"/>
        <v>1.2739025777429712E-2</v>
      </c>
    </row>
    <row r="62" spans="2:4" x14ac:dyDescent="0.35">
      <c r="B62" s="10">
        <v>46093</v>
      </c>
      <c r="C62" s="11">
        <v>60</v>
      </c>
      <c r="D62" s="43">
        <f t="shared" si="0"/>
        <v>9.9950033308364504E-4</v>
      </c>
    </row>
    <row r="63" spans="2:4" x14ac:dyDescent="0.35">
      <c r="B63" s="10">
        <v>46092</v>
      </c>
      <c r="C63" s="11">
        <v>63.63</v>
      </c>
      <c r="D63" s="43">
        <f t="shared" si="0"/>
        <v>-5.8740495022600092E-2</v>
      </c>
    </row>
    <row r="64" spans="2:4" x14ac:dyDescent="0.35">
      <c r="B64" s="10">
        <v>46091</v>
      </c>
      <c r="C64" s="11">
        <v>64.2</v>
      </c>
      <c r="D64" s="43">
        <f t="shared" si="0"/>
        <v>-8.9181534512147147E-3</v>
      </c>
    </row>
    <row r="65" spans="2:4" x14ac:dyDescent="0.35">
      <c r="B65" s="10">
        <v>46090</v>
      </c>
      <c r="C65" s="11">
        <v>62.42</v>
      </c>
      <c r="D65" s="43">
        <f t="shared" si="0"/>
        <v>2.8117473853282126E-2</v>
      </c>
    </row>
    <row r="66" spans="2:4" x14ac:dyDescent="0.35">
      <c r="B66" s="10">
        <v>46087</v>
      </c>
      <c r="C66" s="11">
        <v>60.41</v>
      </c>
      <c r="D66" s="43">
        <f t="shared" si="0"/>
        <v>3.2731082691983569E-2</v>
      </c>
    </row>
    <row r="67" spans="2:4" x14ac:dyDescent="0.35">
      <c r="B67" s="10">
        <v>46086</v>
      </c>
      <c r="C67" s="11">
        <v>62.19</v>
      </c>
      <c r="D67" s="43">
        <f t="shared" si="0"/>
        <v>-2.9039560965147992E-2</v>
      </c>
    </row>
    <row r="68" spans="2:4" x14ac:dyDescent="0.35">
      <c r="B68" s="10">
        <v>46085</v>
      </c>
      <c r="C68" s="11">
        <v>62.27</v>
      </c>
      <c r="D68" s="43">
        <f t="shared" ref="D68:D131" si="1">IFERROR(LN(C67/C68),"")</f>
        <v>-1.2855537685627584E-3</v>
      </c>
    </row>
    <row r="69" spans="2:4" x14ac:dyDescent="0.35">
      <c r="B69" s="10">
        <v>46084</v>
      </c>
      <c r="C69" s="11">
        <v>60.72</v>
      </c>
      <c r="D69" s="43">
        <f t="shared" si="1"/>
        <v>2.52066357969861E-2</v>
      </c>
    </row>
    <row r="70" spans="2:4" x14ac:dyDescent="0.35">
      <c r="B70" s="10">
        <v>46083</v>
      </c>
      <c r="C70" s="11">
        <v>61.43</v>
      </c>
      <c r="D70" s="43">
        <f t="shared" si="1"/>
        <v>-1.1625182088461574E-2</v>
      </c>
    </row>
    <row r="71" spans="2:4" x14ac:dyDescent="0.35">
      <c r="B71" s="10">
        <v>46080</v>
      </c>
      <c r="C71" s="11">
        <v>62.22</v>
      </c>
      <c r="D71" s="43">
        <f t="shared" si="1"/>
        <v>-1.2778176293654894E-2</v>
      </c>
    </row>
    <row r="72" spans="2:4" x14ac:dyDescent="0.35">
      <c r="B72" s="10">
        <v>46079</v>
      </c>
      <c r="C72" s="11">
        <v>62.63</v>
      </c>
      <c r="D72" s="43">
        <f t="shared" si="1"/>
        <v>-6.5679050678306237E-3</v>
      </c>
    </row>
    <row r="73" spans="2:4" x14ac:dyDescent="0.35">
      <c r="B73" s="10">
        <v>46078</v>
      </c>
      <c r="C73" s="11">
        <v>62.89</v>
      </c>
      <c r="D73" s="43">
        <f t="shared" si="1"/>
        <v>-4.1427720180905129E-3</v>
      </c>
    </row>
    <row r="74" spans="2:4" x14ac:dyDescent="0.35">
      <c r="B74" s="10">
        <v>46077</v>
      </c>
      <c r="C74" s="11">
        <v>70.099999999999994</v>
      </c>
      <c r="D74" s="43">
        <f t="shared" si="1"/>
        <v>-0.10853562548513233</v>
      </c>
    </row>
    <row r="75" spans="2:4" x14ac:dyDescent="0.35">
      <c r="B75" s="10">
        <v>46076</v>
      </c>
      <c r="C75" s="11">
        <v>68.260000000000005</v>
      </c>
      <c r="D75" s="43">
        <f t="shared" si="1"/>
        <v>2.6598850561983352E-2</v>
      </c>
    </row>
    <row r="76" spans="2:4" x14ac:dyDescent="0.35">
      <c r="B76" s="10">
        <v>46073</v>
      </c>
      <c r="C76" s="11">
        <v>67.94</v>
      </c>
      <c r="D76" s="43">
        <f t="shared" si="1"/>
        <v>4.6989807461232103E-3</v>
      </c>
    </row>
    <row r="77" spans="2:4" x14ac:dyDescent="0.35">
      <c r="B77" s="10">
        <v>46072</v>
      </c>
      <c r="C77" s="11">
        <v>67.83</v>
      </c>
      <c r="D77" s="43">
        <f t="shared" si="1"/>
        <v>1.6203877744497195E-3</v>
      </c>
    </row>
    <row r="78" spans="2:4" x14ac:dyDescent="0.35">
      <c r="B78" s="10">
        <v>46071</v>
      </c>
      <c r="C78" s="11">
        <v>66.98</v>
      </c>
      <c r="D78" s="43">
        <f t="shared" si="1"/>
        <v>1.2610507591929514E-2</v>
      </c>
    </row>
    <row r="79" spans="2:4" x14ac:dyDescent="0.35">
      <c r="B79" s="10">
        <v>46070</v>
      </c>
      <c r="C79" s="11">
        <v>66.62</v>
      </c>
      <c r="D79" s="43">
        <f t="shared" si="1"/>
        <v>5.3892346005248986E-3</v>
      </c>
    </row>
    <row r="80" spans="2:4" x14ac:dyDescent="0.35">
      <c r="B80" s="10">
        <v>46066</v>
      </c>
      <c r="C80" s="11">
        <v>66.260000000000005</v>
      </c>
      <c r="D80" s="43">
        <f t="shared" si="1"/>
        <v>5.4184358937837658E-3</v>
      </c>
    </row>
    <row r="81" spans="2:4" x14ac:dyDescent="0.35">
      <c r="B81" s="10">
        <v>46065</v>
      </c>
      <c r="C81" s="11">
        <v>65.040000000000006</v>
      </c>
      <c r="D81" s="43">
        <f t="shared" si="1"/>
        <v>1.8583931632194673E-2</v>
      </c>
    </row>
    <row r="82" spans="2:4" x14ac:dyDescent="0.35">
      <c r="B82" s="10">
        <v>46064</v>
      </c>
      <c r="C82" s="11">
        <v>66.8</v>
      </c>
      <c r="D82" s="43">
        <f t="shared" si="1"/>
        <v>-2.6700615303044808E-2</v>
      </c>
    </row>
    <row r="83" spans="2:4" x14ac:dyDescent="0.35">
      <c r="B83" s="10">
        <v>46063</v>
      </c>
      <c r="C83" s="11">
        <v>64.849999999999994</v>
      </c>
      <c r="D83" s="43">
        <f t="shared" si="1"/>
        <v>2.9626169780147142E-2</v>
      </c>
    </row>
    <row r="84" spans="2:4" x14ac:dyDescent="0.35">
      <c r="B84" s="10">
        <v>46062</v>
      </c>
      <c r="C84" s="11">
        <v>63.36</v>
      </c>
      <c r="D84" s="43">
        <f t="shared" si="1"/>
        <v>2.3244163256282476E-2</v>
      </c>
    </row>
    <row r="85" spans="2:4" x14ac:dyDescent="0.35">
      <c r="B85" s="10">
        <v>46059</v>
      </c>
      <c r="C85" s="11">
        <v>62.34</v>
      </c>
      <c r="D85" s="43">
        <f t="shared" si="1"/>
        <v>1.622947316697922E-2</v>
      </c>
    </row>
    <row r="86" spans="2:4" x14ac:dyDescent="0.35">
      <c r="B86" s="10">
        <v>46058</v>
      </c>
      <c r="C86" s="11">
        <v>60.24</v>
      </c>
      <c r="D86" s="43">
        <f t="shared" si="1"/>
        <v>3.4266690847552857E-2</v>
      </c>
    </row>
    <row r="87" spans="2:4" x14ac:dyDescent="0.35">
      <c r="B87" s="10">
        <v>46057</v>
      </c>
      <c r="C87" s="11">
        <v>63.52</v>
      </c>
      <c r="D87" s="43">
        <f t="shared" si="1"/>
        <v>-5.3018233447242213E-2</v>
      </c>
    </row>
    <row r="88" spans="2:4" x14ac:dyDescent="0.35">
      <c r="B88" s="10">
        <v>46056</v>
      </c>
      <c r="C88" s="11">
        <v>64.73</v>
      </c>
      <c r="D88" s="43">
        <f t="shared" si="1"/>
        <v>-1.8869955618538502E-2</v>
      </c>
    </row>
    <row r="89" spans="2:4" x14ac:dyDescent="0.35">
      <c r="B89" s="10">
        <v>46055</v>
      </c>
      <c r="C89" s="11">
        <v>65.16</v>
      </c>
      <c r="D89" s="43">
        <f t="shared" si="1"/>
        <v>-6.6210111764254606E-3</v>
      </c>
    </row>
    <row r="90" spans="2:4" x14ac:dyDescent="0.35">
      <c r="B90" s="10">
        <v>46052</v>
      </c>
      <c r="C90" s="11">
        <v>63.19</v>
      </c>
      <c r="D90" s="43">
        <f t="shared" si="1"/>
        <v>3.0699722948480418E-2</v>
      </c>
    </row>
    <row r="91" spans="2:4" x14ac:dyDescent="0.35">
      <c r="B91" s="10">
        <v>46051</v>
      </c>
      <c r="C91" s="11">
        <v>65.599999999999994</v>
      </c>
      <c r="D91" s="43">
        <f t="shared" si="1"/>
        <v>-3.7429635164679474E-2</v>
      </c>
    </row>
    <row r="92" spans="2:4" x14ac:dyDescent="0.35">
      <c r="B92" s="10">
        <v>46050</v>
      </c>
      <c r="C92" s="11">
        <v>65.14</v>
      </c>
      <c r="D92" s="43">
        <f t="shared" si="1"/>
        <v>7.0368961019557823E-3</v>
      </c>
    </row>
    <row r="93" spans="2:4" x14ac:dyDescent="0.35">
      <c r="B93" s="10">
        <v>46049</v>
      </c>
      <c r="C93" s="11">
        <v>64.010000000000005</v>
      </c>
      <c r="D93" s="43">
        <f t="shared" si="1"/>
        <v>1.7499478694175324E-2</v>
      </c>
    </row>
    <row r="94" spans="2:4" x14ac:dyDescent="0.35">
      <c r="B94" s="10">
        <v>46048</v>
      </c>
      <c r="C94" s="11">
        <v>63.19</v>
      </c>
      <c r="D94" s="43">
        <f t="shared" si="1"/>
        <v>1.2893260368548265E-2</v>
      </c>
    </row>
    <row r="95" spans="2:4" x14ac:dyDescent="0.35">
      <c r="B95" s="10">
        <v>46045</v>
      </c>
      <c r="C95" s="11">
        <v>63.41</v>
      </c>
      <c r="D95" s="43">
        <f t="shared" si="1"/>
        <v>-3.4755169265763839E-3</v>
      </c>
    </row>
    <row r="96" spans="2:4" x14ac:dyDescent="0.35">
      <c r="B96" s="10">
        <v>46044</v>
      </c>
      <c r="C96" s="11">
        <v>64.930000000000007</v>
      </c>
      <c r="D96" s="43">
        <f t="shared" si="1"/>
        <v>-2.3688188808455243E-2</v>
      </c>
    </row>
    <row r="97" spans="2:4" x14ac:dyDescent="0.35">
      <c r="B97" s="10">
        <v>46043</v>
      </c>
      <c r="C97" s="11">
        <v>63.04</v>
      </c>
      <c r="D97" s="43">
        <f t="shared" si="1"/>
        <v>2.9540320970771885E-2</v>
      </c>
    </row>
    <row r="98" spans="2:4" x14ac:dyDescent="0.35">
      <c r="B98" s="10">
        <v>46042</v>
      </c>
      <c r="C98" s="11">
        <v>63.78</v>
      </c>
      <c r="D98" s="43">
        <f t="shared" si="1"/>
        <v>-1.1670216032287895E-2</v>
      </c>
    </row>
    <row r="99" spans="2:4" x14ac:dyDescent="0.35">
      <c r="B99" s="10">
        <v>46038</v>
      </c>
      <c r="C99" s="11">
        <v>62.58</v>
      </c>
      <c r="D99" s="43">
        <f t="shared" si="1"/>
        <v>1.8993923341175549E-2</v>
      </c>
    </row>
    <row r="100" spans="2:4" x14ac:dyDescent="0.35">
      <c r="B100" s="10">
        <v>46037</v>
      </c>
      <c r="C100" s="11">
        <v>63.44</v>
      </c>
      <c r="D100" s="43">
        <f t="shared" si="1"/>
        <v>-1.364883908585646E-2</v>
      </c>
    </row>
    <row r="101" spans="2:4" x14ac:dyDescent="0.35">
      <c r="B101" s="10">
        <v>46036</v>
      </c>
      <c r="C101" s="11">
        <v>64.599999999999994</v>
      </c>
      <c r="D101" s="43">
        <f t="shared" si="1"/>
        <v>-1.8119833461963539E-2</v>
      </c>
    </row>
    <row r="102" spans="2:4" x14ac:dyDescent="0.35">
      <c r="B102" s="10">
        <v>46035</v>
      </c>
      <c r="C102" s="11">
        <v>63.33</v>
      </c>
      <c r="D102" s="43">
        <f t="shared" si="1"/>
        <v>1.9855260260217274E-2</v>
      </c>
    </row>
    <row r="103" spans="2:4" x14ac:dyDescent="0.35">
      <c r="B103" s="10">
        <v>46034</v>
      </c>
      <c r="C103" s="11">
        <v>64.64</v>
      </c>
      <c r="D103" s="43">
        <f t="shared" si="1"/>
        <v>-2.0474263684501039E-2</v>
      </c>
    </row>
    <row r="104" spans="2:4" x14ac:dyDescent="0.35">
      <c r="B104" s="10">
        <v>46031</v>
      </c>
      <c r="C104" s="11">
        <v>62.51</v>
      </c>
      <c r="D104" s="43">
        <f t="shared" si="1"/>
        <v>3.3506870269118888E-2</v>
      </c>
    </row>
    <row r="105" spans="2:4" x14ac:dyDescent="0.35">
      <c r="B105" s="10">
        <v>46030</v>
      </c>
      <c r="C105" s="11">
        <v>63.32</v>
      </c>
      <c r="D105" s="43">
        <f t="shared" si="1"/>
        <v>-1.2874691069090477E-2</v>
      </c>
    </row>
    <row r="106" spans="2:4" x14ac:dyDescent="0.35">
      <c r="B106" s="10">
        <v>46029</v>
      </c>
      <c r="C106" s="11">
        <v>65.42</v>
      </c>
      <c r="D106" s="43">
        <f t="shared" si="1"/>
        <v>-3.2626787097426439E-2</v>
      </c>
    </row>
    <row r="107" spans="2:4" x14ac:dyDescent="0.35">
      <c r="B107" s="10">
        <v>46028</v>
      </c>
      <c r="C107" s="11">
        <v>64.599999999999994</v>
      </c>
      <c r="D107" s="43">
        <f t="shared" si="1"/>
        <v>1.2613611321681699E-2</v>
      </c>
    </row>
    <row r="108" spans="2:4" x14ac:dyDescent="0.35">
      <c r="B108" s="10">
        <v>46027</v>
      </c>
      <c r="C108" s="11">
        <v>61.26</v>
      </c>
      <c r="D108" s="43">
        <f t="shared" si="1"/>
        <v>5.3087309383926841E-2</v>
      </c>
    </row>
    <row r="109" spans="2:4" x14ac:dyDescent="0.35">
      <c r="B109" s="10">
        <v>46024</v>
      </c>
      <c r="C109" s="11">
        <v>61.73</v>
      </c>
      <c r="D109" s="43">
        <f t="shared" si="1"/>
        <v>-7.6429350011753229E-3</v>
      </c>
    </row>
    <row r="110" spans="2:4" x14ac:dyDescent="0.35">
      <c r="B110" s="10">
        <v>46022</v>
      </c>
      <c r="C110" s="11">
        <v>63.54</v>
      </c>
      <c r="D110" s="43">
        <f t="shared" si="1"/>
        <v>-2.8899592435565627E-2</v>
      </c>
    </row>
    <row r="111" spans="2:4" x14ac:dyDescent="0.35">
      <c r="B111" s="10">
        <v>46021</v>
      </c>
      <c r="C111" s="11">
        <v>61.37</v>
      </c>
      <c r="D111" s="43">
        <f t="shared" si="1"/>
        <v>3.4748512440364435E-2</v>
      </c>
    </row>
    <row r="112" spans="2:4" x14ac:dyDescent="0.35">
      <c r="B112" s="10">
        <v>46020</v>
      </c>
      <c r="C112" s="11">
        <v>61.75</v>
      </c>
      <c r="D112" s="43">
        <f t="shared" si="1"/>
        <v>-6.1728591070809675E-3</v>
      </c>
    </row>
    <row r="113" spans="2:4" x14ac:dyDescent="0.35">
      <c r="B113" s="10">
        <v>46017</v>
      </c>
      <c r="C113" s="11">
        <v>63.11</v>
      </c>
      <c r="D113" s="43">
        <f t="shared" si="1"/>
        <v>-2.1785260088061531E-2</v>
      </c>
    </row>
    <row r="114" spans="2:4" x14ac:dyDescent="0.35">
      <c r="B114" s="10">
        <v>46015</v>
      </c>
      <c r="C114" s="11">
        <v>64.180000000000007</v>
      </c>
      <c r="D114" s="43">
        <f t="shared" si="1"/>
        <v>-1.6812400085562756E-2</v>
      </c>
    </row>
    <row r="115" spans="2:4" x14ac:dyDescent="0.35">
      <c r="B115" s="10">
        <v>46014</v>
      </c>
      <c r="C115" s="11">
        <v>63.29</v>
      </c>
      <c r="D115" s="43">
        <f t="shared" si="1"/>
        <v>1.3964296894496964E-2</v>
      </c>
    </row>
    <row r="116" spans="2:4" x14ac:dyDescent="0.35">
      <c r="B116" s="10">
        <v>46013</v>
      </c>
      <c r="C116" s="11">
        <v>65.599999999999994</v>
      </c>
      <c r="D116" s="43">
        <f t="shared" si="1"/>
        <v>-3.5848357162829317E-2</v>
      </c>
    </row>
    <row r="117" spans="2:4" x14ac:dyDescent="0.35">
      <c r="B117" s="10">
        <v>46010</v>
      </c>
      <c r="C117" s="11">
        <v>62.72</v>
      </c>
      <c r="D117" s="43">
        <f t="shared" si="1"/>
        <v>4.4895319907890946E-2</v>
      </c>
    </row>
    <row r="118" spans="2:4" x14ac:dyDescent="0.35">
      <c r="B118" s="10">
        <v>46009</v>
      </c>
      <c r="C118" s="11">
        <v>62.2</v>
      </c>
      <c r="D118" s="43">
        <f t="shared" si="1"/>
        <v>8.3253762970186534E-3</v>
      </c>
    </row>
    <row r="119" spans="2:4" x14ac:dyDescent="0.35">
      <c r="B119" s="10">
        <v>46008</v>
      </c>
      <c r="C119" s="11">
        <v>59.82</v>
      </c>
      <c r="D119" s="43">
        <f t="shared" si="1"/>
        <v>3.9014946543331895E-2</v>
      </c>
    </row>
    <row r="120" spans="2:4" x14ac:dyDescent="0.35">
      <c r="B120" s="10">
        <v>46007</v>
      </c>
      <c r="C120" s="11">
        <v>62.02</v>
      </c>
      <c r="D120" s="43">
        <f t="shared" si="1"/>
        <v>-3.6116860470501E-2</v>
      </c>
    </row>
    <row r="121" spans="2:4" x14ac:dyDescent="0.35">
      <c r="B121" s="10">
        <v>46006</v>
      </c>
      <c r="C121" s="11">
        <v>62.16</v>
      </c>
      <c r="D121" s="43">
        <f t="shared" si="1"/>
        <v>-2.2547923870889822E-3</v>
      </c>
    </row>
    <row r="122" spans="2:4" x14ac:dyDescent="0.35">
      <c r="B122" s="10">
        <v>46003</v>
      </c>
      <c r="C122" s="11">
        <v>63.35</v>
      </c>
      <c r="D122" s="43">
        <f t="shared" si="1"/>
        <v>-1.8963200707756166E-2</v>
      </c>
    </row>
    <row r="123" spans="2:4" x14ac:dyDescent="0.35">
      <c r="B123" s="10">
        <v>46002</v>
      </c>
      <c r="C123" s="11">
        <v>60.77</v>
      </c>
      <c r="D123" s="43">
        <f t="shared" si="1"/>
        <v>4.1578660619884168E-2</v>
      </c>
    </row>
    <row r="124" spans="2:4" x14ac:dyDescent="0.35">
      <c r="B124" s="10">
        <v>46001</v>
      </c>
      <c r="C124" s="11">
        <v>60.32</v>
      </c>
      <c r="D124" s="43">
        <f t="shared" si="1"/>
        <v>7.4325224475633609E-3</v>
      </c>
    </row>
    <row r="125" spans="2:4" x14ac:dyDescent="0.35">
      <c r="B125" s="10">
        <v>46000</v>
      </c>
      <c r="C125" s="11">
        <v>61.6</v>
      </c>
      <c r="D125" s="43">
        <f t="shared" si="1"/>
        <v>-2.0998146839773468E-2</v>
      </c>
    </row>
    <row r="126" spans="2:4" x14ac:dyDescent="0.35">
      <c r="B126" s="10">
        <v>45999</v>
      </c>
      <c r="C126" s="11">
        <v>64.13</v>
      </c>
      <c r="D126" s="43">
        <f t="shared" si="1"/>
        <v>-4.0250402621297365E-2</v>
      </c>
    </row>
    <row r="127" spans="2:4" x14ac:dyDescent="0.35">
      <c r="B127" s="10">
        <v>45996</v>
      </c>
      <c r="C127" s="11">
        <v>65.67</v>
      </c>
      <c r="D127" s="43">
        <f t="shared" si="1"/>
        <v>-2.3729927042109775E-2</v>
      </c>
    </row>
    <row r="128" spans="2:4" x14ac:dyDescent="0.35">
      <c r="B128" s="10">
        <v>45995</v>
      </c>
      <c r="C128" s="11">
        <v>66.540000000000006</v>
      </c>
      <c r="D128" s="43">
        <f t="shared" si="1"/>
        <v>-1.3161070387449467E-2</v>
      </c>
    </row>
    <row r="129" spans="2:4" x14ac:dyDescent="0.35">
      <c r="B129" s="10">
        <v>45994</v>
      </c>
      <c r="C129" s="11">
        <v>64.66</v>
      </c>
      <c r="D129" s="43">
        <f t="shared" si="1"/>
        <v>2.866049829304371E-2</v>
      </c>
    </row>
    <row r="130" spans="2:4" x14ac:dyDescent="0.35">
      <c r="B130" s="10">
        <v>45993</v>
      </c>
      <c r="C130" s="11">
        <v>63.51</v>
      </c>
      <c r="D130" s="43">
        <f t="shared" si="1"/>
        <v>1.7945398482403514E-2</v>
      </c>
    </row>
    <row r="131" spans="2:4" x14ac:dyDescent="0.35">
      <c r="B131" s="10">
        <v>45992</v>
      </c>
      <c r="C131" s="11">
        <v>66.05</v>
      </c>
      <c r="D131" s="43">
        <f t="shared" si="1"/>
        <v>-3.9214657153450835E-2</v>
      </c>
    </row>
    <row r="132" spans="2:4" x14ac:dyDescent="0.35">
      <c r="B132" s="10">
        <v>45989</v>
      </c>
      <c r="C132" s="11">
        <v>68.13</v>
      </c>
      <c r="D132" s="43">
        <f t="shared" ref="D132:D195" si="2">IFERROR(LN(C131/C132),"")</f>
        <v>-3.1005613817242473E-2</v>
      </c>
    </row>
    <row r="133" spans="2:4" x14ac:dyDescent="0.35">
      <c r="B133" s="10">
        <v>45987</v>
      </c>
      <c r="C133" s="11">
        <v>68.150000000000006</v>
      </c>
      <c r="D133" s="43">
        <f t="shared" si="2"/>
        <v>-2.9351335696499079E-4</v>
      </c>
    </row>
    <row r="134" spans="2:4" x14ac:dyDescent="0.35">
      <c r="B134" s="10">
        <v>45986</v>
      </c>
      <c r="C134" s="11">
        <v>67.55</v>
      </c>
      <c r="D134" s="43">
        <f t="shared" si="2"/>
        <v>8.8430937363338513E-3</v>
      </c>
    </row>
    <row r="135" spans="2:4" x14ac:dyDescent="0.35">
      <c r="B135" s="10">
        <v>45985</v>
      </c>
      <c r="C135" s="11">
        <v>67.209999999999994</v>
      </c>
      <c r="D135" s="43">
        <f t="shared" si="2"/>
        <v>5.0460184243333074E-3</v>
      </c>
    </row>
    <row r="136" spans="2:4" x14ac:dyDescent="0.35">
      <c r="B136" s="10">
        <v>45982</v>
      </c>
      <c r="C136" s="11">
        <v>65.44</v>
      </c>
      <c r="D136" s="43">
        <f t="shared" si="2"/>
        <v>2.6688353687382912E-2</v>
      </c>
    </row>
    <row r="137" spans="2:4" x14ac:dyDescent="0.35">
      <c r="B137" s="10">
        <v>45981</v>
      </c>
      <c r="C137" s="11">
        <v>63.5</v>
      </c>
      <c r="D137" s="43">
        <f t="shared" si="2"/>
        <v>3.0093786395845659E-2</v>
      </c>
    </row>
    <row r="138" spans="2:4" x14ac:dyDescent="0.35">
      <c r="B138" s="10">
        <v>45980</v>
      </c>
      <c r="C138" s="11">
        <v>64.790000000000006</v>
      </c>
      <c r="D138" s="43">
        <f t="shared" si="2"/>
        <v>-2.0111364563219967E-2</v>
      </c>
    </row>
    <row r="139" spans="2:4" x14ac:dyDescent="0.35">
      <c r="B139" s="10">
        <v>45979</v>
      </c>
      <c r="C139" s="11">
        <v>66.16</v>
      </c>
      <c r="D139" s="43">
        <f t="shared" si="2"/>
        <v>-2.0924780253569839E-2</v>
      </c>
    </row>
    <row r="140" spans="2:4" x14ac:dyDescent="0.35">
      <c r="B140" s="10">
        <v>45978</v>
      </c>
      <c r="C140" s="11">
        <v>66.95</v>
      </c>
      <c r="D140" s="43">
        <f t="shared" si="2"/>
        <v>-1.1870021421745704E-2</v>
      </c>
    </row>
    <row r="141" spans="2:4" x14ac:dyDescent="0.35">
      <c r="B141" s="10">
        <v>45975</v>
      </c>
      <c r="C141" s="11">
        <v>66.44</v>
      </c>
      <c r="D141" s="43">
        <f t="shared" si="2"/>
        <v>7.6467873920874133E-3</v>
      </c>
    </row>
    <row r="142" spans="2:4" x14ac:dyDescent="0.35">
      <c r="B142" s="10">
        <v>45974</v>
      </c>
      <c r="C142" s="11">
        <v>65.52</v>
      </c>
      <c r="D142" s="43">
        <f t="shared" si="2"/>
        <v>1.3943845200280091E-2</v>
      </c>
    </row>
    <row r="143" spans="2:4" x14ac:dyDescent="0.35">
      <c r="B143" s="10">
        <v>45973</v>
      </c>
      <c r="C143" s="11">
        <v>65.94</v>
      </c>
      <c r="D143" s="43">
        <f t="shared" si="2"/>
        <v>-6.38979809877101E-3</v>
      </c>
    </row>
    <row r="144" spans="2:4" x14ac:dyDescent="0.35">
      <c r="B144" s="10">
        <v>45972</v>
      </c>
      <c r="C144" s="11">
        <v>66.5</v>
      </c>
      <c r="D144" s="43">
        <f t="shared" si="2"/>
        <v>-8.4567100182235087E-3</v>
      </c>
    </row>
    <row r="145" spans="2:4" x14ac:dyDescent="0.35">
      <c r="B145" s="10">
        <v>45971</v>
      </c>
      <c r="C145" s="11">
        <v>62.2</v>
      </c>
      <c r="D145" s="43">
        <f t="shared" si="2"/>
        <v>6.6846947916674573E-2</v>
      </c>
    </row>
    <row r="146" spans="2:4" x14ac:dyDescent="0.35">
      <c r="B146" s="10">
        <v>45968</v>
      </c>
      <c r="C146" s="11">
        <v>60.16</v>
      </c>
      <c r="D146" s="43">
        <f t="shared" si="2"/>
        <v>3.3347320103549551E-2</v>
      </c>
    </row>
    <row r="147" spans="2:4" x14ac:dyDescent="0.35">
      <c r="B147" s="10">
        <v>45967</v>
      </c>
      <c r="C147" s="11">
        <v>60.3</v>
      </c>
      <c r="D147" s="43">
        <f t="shared" si="2"/>
        <v>-2.3244240915553855E-3</v>
      </c>
    </row>
    <row r="148" spans="2:4" x14ac:dyDescent="0.35">
      <c r="B148" s="10">
        <v>45966</v>
      </c>
      <c r="C148" s="11">
        <v>59.19</v>
      </c>
      <c r="D148" s="43">
        <f t="shared" si="2"/>
        <v>1.8579495030506113E-2</v>
      </c>
    </row>
    <row r="149" spans="2:4" x14ac:dyDescent="0.35">
      <c r="B149" s="10">
        <v>45965</v>
      </c>
      <c r="C149" s="11">
        <v>59.62</v>
      </c>
      <c r="D149" s="43">
        <f t="shared" si="2"/>
        <v>-7.2384795472916789E-3</v>
      </c>
    </row>
    <row r="150" spans="2:4" x14ac:dyDescent="0.35">
      <c r="B150" s="10">
        <v>45964</v>
      </c>
      <c r="C150" s="11">
        <v>60.03</v>
      </c>
      <c r="D150" s="43">
        <f t="shared" si="2"/>
        <v>-6.853349013826459E-3</v>
      </c>
    </row>
    <row r="151" spans="2:4" x14ac:dyDescent="0.35">
      <c r="B151" s="10">
        <v>45961</v>
      </c>
      <c r="C151" s="11">
        <v>63.59</v>
      </c>
      <c r="D151" s="43">
        <f t="shared" si="2"/>
        <v>-5.7611788015564672E-2</v>
      </c>
    </row>
    <row r="152" spans="2:4" x14ac:dyDescent="0.35">
      <c r="B152" s="10">
        <v>45960</v>
      </c>
      <c r="C152" s="11">
        <v>62.25</v>
      </c>
      <c r="D152" s="43">
        <f t="shared" si="2"/>
        <v>2.1297689934499403E-2</v>
      </c>
    </row>
    <row r="153" spans="2:4" x14ac:dyDescent="0.35">
      <c r="B153" s="10">
        <v>45959</v>
      </c>
      <c r="C153" s="11">
        <v>61.99</v>
      </c>
      <c r="D153" s="43">
        <f t="shared" si="2"/>
        <v>4.1854536309889109E-3</v>
      </c>
    </row>
    <row r="154" spans="2:4" x14ac:dyDescent="0.35">
      <c r="B154" s="10">
        <v>45958</v>
      </c>
      <c r="C154" s="11">
        <v>61.97</v>
      </c>
      <c r="D154" s="43">
        <f t="shared" si="2"/>
        <v>3.2268473981205206E-4</v>
      </c>
    </row>
    <row r="155" spans="2:4" x14ac:dyDescent="0.35">
      <c r="B155" s="10">
        <v>45957</v>
      </c>
      <c r="C155" s="11">
        <v>60.18</v>
      </c>
      <c r="D155" s="43">
        <f t="shared" si="2"/>
        <v>2.9310325772116955E-2</v>
      </c>
    </row>
    <row r="156" spans="2:4" x14ac:dyDescent="0.35">
      <c r="B156" s="10">
        <v>45954</v>
      </c>
      <c r="C156" s="11">
        <v>57.83</v>
      </c>
      <c r="D156" s="43">
        <f t="shared" si="2"/>
        <v>3.9832399031772402E-2</v>
      </c>
    </row>
    <row r="157" spans="2:4" x14ac:dyDescent="0.35">
      <c r="B157" s="10">
        <v>45953</v>
      </c>
      <c r="C157" s="11">
        <v>57.5</v>
      </c>
      <c r="D157" s="43">
        <f t="shared" si="2"/>
        <v>5.7227243668219949E-3</v>
      </c>
    </row>
    <row r="158" spans="2:4" x14ac:dyDescent="0.35">
      <c r="B158" s="10">
        <v>45952</v>
      </c>
      <c r="C158" s="11">
        <v>54.76</v>
      </c>
      <c r="D158" s="43">
        <f t="shared" si="2"/>
        <v>4.8824947383056753E-2</v>
      </c>
    </row>
    <row r="159" spans="2:4" x14ac:dyDescent="0.35">
      <c r="B159" s="10">
        <v>45951</v>
      </c>
      <c r="C159" s="11">
        <v>57.78</v>
      </c>
      <c r="D159" s="43">
        <f t="shared" si="2"/>
        <v>-5.3682694617841156E-2</v>
      </c>
    </row>
    <row r="160" spans="2:4" x14ac:dyDescent="0.35">
      <c r="B160" s="10">
        <v>45950</v>
      </c>
      <c r="C160" s="11">
        <v>59.35</v>
      </c>
      <c r="D160" s="43">
        <f t="shared" si="2"/>
        <v>-2.6809426017587863E-2</v>
      </c>
    </row>
    <row r="161" spans="2:4" x14ac:dyDescent="0.35">
      <c r="B161" s="10">
        <v>45947</v>
      </c>
      <c r="C161" s="11">
        <v>58.44</v>
      </c>
      <c r="D161" s="43">
        <f t="shared" si="2"/>
        <v>1.5451534173178396E-2</v>
      </c>
    </row>
    <row r="162" spans="2:4" x14ac:dyDescent="0.35">
      <c r="B162" s="10">
        <v>45946</v>
      </c>
      <c r="C162" s="11">
        <v>58.96</v>
      </c>
      <c r="D162" s="43">
        <f t="shared" si="2"/>
        <v>-8.8586609985824467E-3</v>
      </c>
    </row>
    <row r="163" spans="2:4" x14ac:dyDescent="0.35">
      <c r="B163" s="10">
        <v>45945</v>
      </c>
      <c r="C163" s="11">
        <v>62.8</v>
      </c>
      <c r="D163" s="43">
        <f t="shared" si="2"/>
        <v>-6.3095825593071808E-2</v>
      </c>
    </row>
    <row r="164" spans="2:4" x14ac:dyDescent="0.35">
      <c r="B164" s="10">
        <v>45944</v>
      </c>
      <c r="C164" s="11">
        <v>61.03</v>
      </c>
      <c r="D164" s="43">
        <f t="shared" si="2"/>
        <v>2.8589526917749349E-2</v>
      </c>
    </row>
    <row r="165" spans="2:4" x14ac:dyDescent="0.35">
      <c r="B165" s="10">
        <v>45943</v>
      </c>
      <c r="C165" s="11">
        <v>59.59</v>
      </c>
      <c r="D165" s="43">
        <f t="shared" si="2"/>
        <v>2.3877771797515934E-2</v>
      </c>
    </row>
    <row r="166" spans="2:4" x14ac:dyDescent="0.35">
      <c r="B166" s="10">
        <v>45940</v>
      </c>
      <c r="C166" s="11">
        <v>60.04</v>
      </c>
      <c r="D166" s="43">
        <f t="shared" si="2"/>
        <v>-7.523232006373606E-3</v>
      </c>
    </row>
    <row r="167" spans="2:4" x14ac:dyDescent="0.35">
      <c r="B167" s="10">
        <v>45939</v>
      </c>
      <c r="C167" s="11">
        <v>60.31</v>
      </c>
      <c r="D167" s="43">
        <f t="shared" si="2"/>
        <v>-4.4869206976342968E-3</v>
      </c>
    </row>
    <row r="168" spans="2:4" x14ac:dyDescent="0.35">
      <c r="B168" s="10">
        <v>45938</v>
      </c>
      <c r="C168" s="11">
        <v>60.82</v>
      </c>
      <c r="D168" s="43">
        <f t="shared" si="2"/>
        <v>-8.4207547863231914E-3</v>
      </c>
    </row>
    <row r="169" spans="2:4" x14ac:dyDescent="0.35">
      <c r="B169" s="10">
        <v>45937</v>
      </c>
      <c r="C169" s="11">
        <v>60.17</v>
      </c>
      <c r="D169" s="43">
        <f t="shared" si="2"/>
        <v>1.0744793016958168E-2</v>
      </c>
    </row>
    <row r="170" spans="2:4" x14ac:dyDescent="0.35">
      <c r="B170" s="10">
        <v>45936</v>
      </c>
      <c r="C170" s="11">
        <v>60.64</v>
      </c>
      <c r="D170" s="43">
        <f t="shared" si="2"/>
        <v>-7.7808521018558133E-3</v>
      </c>
    </row>
    <row r="171" spans="2:4" x14ac:dyDescent="0.35">
      <c r="B171" s="10">
        <v>45933</v>
      </c>
      <c r="C171" s="11">
        <v>56.97</v>
      </c>
      <c r="D171" s="43">
        <f t="shared" si="2"/>
        <v>6.2429927841812068E-2</v>
      </c>
    </row>
    <row r="172" spans="2:4" x14ac:dyDescent="0.35">
      <c r="B172" s="10">
        <v>45932</v>
      </c>
      <c r="C172" s="11">
        <v>56.32</v>
      </c>
      <c r="D172" s="43">
        <f t="shared" si="2"/>
        <v>1.1475101642517182E-2</v>
      </c>
    </row>
    <row r="173" spans="2:4" x14ac:dyDescent="0.35">
      <c r="B173" s="10">
        <v>45931</v>
      </c>
      <c r="C173" s="11">
        <v>55.84</v>
      </c>
      <c r="D173" s="43">
        <f t="shared" si="2"/>
        <v>8.5592533956699111E-3</v>
      </c>
    </row>
    <row r="174" spans="2:4" x14ac:dyDescent="0.35">
      <c r="B174" s="10">
        <v>45930</v>
      </c>
      <c r="C174" s="11">
        <v>54.96</v>
      </c>
      <c r="D174" s="43">
        <f t="shared" si="2"/>
        <v>1.5884810540023133E-2</v>
      </c>
    </row>
    <row r="175" spans="2:4" x14ac:dyDescent="0.35">
      <c r="B175" s="10">
        <v>45929</v>
      </c>
      <c r="C175" s="11">
        <v>53.89</v>
      </c>
      <c r="D175" s="43">
        <f t="shared" si="2"/>
        <v>1.9660715968688541E-2</v>
      </c>
    </row>
    <row r="176" spans="2:4" x14ac:dyDescent="0.35">
      <c r="B176" s="10">
        <v>45926</v>
      </c>
      <c r="C176" s="11">
        <v>50.4</v>
      </c>
      <c r="D176" s="43">
        <f t="shared" si="2"/>
        <v>6.6953756868082373E-2</v>
      </c>
    </row>
    <row r="177" spans="2:4" x14ac:dyDescent="0.35">
      <c r="B177" s="10">
        <v>45925</v>
      </c>
      <c r="C177" s="11">
        <v>47.83</v>
      </c>
      <c r="D177" s="43">
        <f t="shared" si="2"/>
        <v>5.23381173851174E-2</v>
      </c>
    </row>
    <row r="178" spans="2:4" x14ac:dyDescent="0.35">
      <c r="B178" s="10">
        <v>45924</v>
      </c>
      <c r="C178" s="11">
        <v>48.29</v>
      </c>
      <c r="D178" s="43">
        <f t="shared" si="2"/>
        <v>-9.5714421932449733E-3</v>
      </c>
    </row>
    <row r="179" spans="2:4" x14ac:dyDescent="0.35">
      <c r="B179" s="10">
        <v>45923</v>
      </c>
      <c r="C179" s="11">
        <v>48.55</v>
      </c>
      <c r="D179" s="43">
        <f t="shared" si="2"/>
        <v>-5.3696948518833984E-3</v>
      </c>
    </row>
    <row r="180" spans="2:4" x14ac:dyDescent="0.35">
      <c r="B180" s="10">
        <v>45922</v>
      </c>
      <c r="C180" s="11">
        <v>48.25</v>
      </c>
      <c r="D180" s="43">
        <f t="shared" si="2"/>
        <v>6.1983669523388305E-3</v>
      </c>
    </row>
    <row r="181" spans="2:4" x14ac:dyDescent="0.35">
      <c r="B181" s="10">
        <v>45919</v>
      </c>
      <c r="C181" s="11">
        <v>48.66</v>
      </c>
      <c r="D181" s="43">
        <f t="shared" si="2"/>
        <v>-8.461509570381557E-3</v>
      </c>
    </row>
    <row r="182" spans="2:4" x14ac:dyDescent="0.35">
      <c r="B182" s="10">
        <v>45918</v>
      </c>
      <c r="C182" s="11">
        <v>49.29</v>
      </c>
      <c r="D182" s="43">
        <f t="shared" si="2"/>
        <v>-1.2863883361909897E-2</v>
      </c>
    </row>
    <row r="183" spans="2:4" x14ac:dyDescent="0.35">
      <c r="B183" s="10">
        <v>45917</v>
      </c>
      <c r="C183" s="11">
        <v>47.56</v>
      </c>
      <c r="D183" s="43">
        <f t="shared" si="2"/>
        <v>3.572914889470525E-2</v>
      </c>
    </row>
    <row r="184" spans="2:4" x14ac:dyDescent="0.35">
      <c r="B184" s="10">
        <v>45916</v>
      </c>
      <c r="C184" s="11">
        <v>49.76</v>
      </c>
      <c r="D184" s="43">
        <f t="shared" si="2"/>
        <v>-4.5219376608342868E-2</v>
      </c>
    </row>
    <row r="185" spans="2:4" x14ac:dyDescent="0.35">
      <c r="B185" s="10">
        <v>45915</v>
      </c>
      <c r="C185" s="11">
        <v>49.44</v>
      </c>
      <c r="D185" s="43">
        <f t="shared" si="2"/>
        <v>6.4516352814885953E-3</v>
      </c>
    </row>
    <row r="186" spans="2:4" x14ac:dyDescent="0.35">
      <c r="B186" s="10">
        <v>45912</v>
      </c>
      <c r="C186" s="11">
        <v>51.13</v>
      </c>
      <c r="D186" s="43">
        <f t="shared" si="2"/>
        <v>-3.361159594247267E-2</v>
      </c>
    </row>
    <row r="187" spans="2:4" x14ac:dyDescent="0.35">
      <c r="B187" s="10">
        <v>45911</v>
      </c>
      <c r="C187" s="11">
        <v>53.32</v>
      </c>
      <c r="D187" s="43">
        <f t="shared" si="2"/>
        <v>-4.1940086218600008E-2</v>
      </c>
    </row>
    <row r="188" spans="2:4" x14ac:dyDescent="0.35">
      <c r="B188" s="10">
        <v>45910</v>
      </c>
      <c r="C188" s="11">
        <v>52</v>
      </c>
      <c r="D188" s="43">
        <f t="shared" si="2"/>
        <v>2.5067776729080522E-2</v>
      </c>
    </row>
    <row r="189" spans="2:4" x14ac:dyDescent="0.35">
      <c r="B189" s="10">
        <v>45909</v>
      </c>
      <c r="C189" s="11">
        <v>51.5</v>
      </c>
      <c r="D189" s="43">
        <f t="shared" si="2"/>
        <v>9.6619109117368901E-3</v>
      </c>
    </row>
    <row r="190" spans="2:4" x14ac:dyDescent="0.35">
      <c r="B190" s="10">
        <v>45908</v>
      </c>
      <c r="C190" s="11">
        <v>52.09</v>
      </c>
      <c r="D190" s="43">
        <f t="shared" si="2"/>
        <v>-1.139118408740976E-2</v>
      </c>
    </row>
    <row r="191" spans="2:4" x14ac:dyDescent="0.35">
      <c r="B191" s="10">
        <v>45905</v>
      </c>
      <c r="C191" s="11">
        <v>53.01</v>
      </c>
      <c r="D191" s="43">
        <f t="shared" si="2"/>
        <v>-1.7507583242614491E-2</v>
      </c>
    </row>
    <row r="192" spans="2:4" x14ac:dyDescent="0.35">
      <c r="B192" s="10">
        <v>45904</v>
      </c>
      <c r="C192" s="11">
        <v>49.75</v>
      </c>
      <c r="D192" s="43">
        <f t="shared" si="2"/>
        <v>6.3470111395112813E-2</v>
      </c>
    </row>
    <row r="193" spans="2:4" x14ac:dyDescent="0.35">
      <c r="B193" s="10">
        <v>45903</v>
      </c>
      <c r="C193" s="11">
        <v>49.99</v>
      </c>
      <c r="D193" s="43">
        <f t="shared" si="2"/>
        <v>-4.8125218208772691E-3</v>
      </c>
    </row>
    <row r="194" spans="2:4" x14ac:dyDescent="0.35">
      <c r="B194" s="10">
        <v>45902</v>
      </c>
      <c r="C194" s="11">
        <v>49.62</v>
      </c>
      <c r="D194" s="43">
        <f t="shared" si="2"/>
        <v>7.4290071618241735E-3</v>
      </c>
    </row>
    <row r="195" spans="2:4" x14ac:dyDescent="0.35">
      <c r="B195" s="10">
        <v>45898</v>
      </c>
      <c r="C195" s="11">
        <v>35.33</v>
      </c>
      <c r="D195" s="43">
        <f t="shared" si="2"/>
        <v>0.33966151689260105</v>
      </c>
    </row>
    <row r="196" spans="2:4" x14ac:dyDescent="0.35">
      <c r="B196" s="10">
        <v>45897</v>
      </c>
      <c r="C196" s="11">
        <v>37.35</v>
      </c>
      <c r="D196" s="43">
        <f t="shared" ref="D196:D259" si="3">IFERROR(LN(C195/C196),"")</f>
        <v>-5.5600450207772496E-2</v>
      </c>
    </row>
    <row r="197" spans="2:4" x14ac:dyDescent="0.35">
      <c r="B197" s="10">
        <v>45896</v>
      </c>
      <c r="C197" s="11">
        <v>37.83</v>
      </c>
      <c r="D197" s="43">
        <f t="shared" si="3"/>
        <v>-1.2769527066111524E-2</v>
      </c>
    </row>
    <row r="198" spans="2:4" x14ac:dyDescent="0.35">
      <c r="B198" s="10">
        <v>45895</v>
      </c>
      <c r="C198" s="11">
        <v>38.19</v>
      </c>
      <c r="D198" s="43">
        <f t="shared" si="3"/>
        <v>-9.4712625924869356E-3</v>
      </c>
    </row>
    <row r="199" spans="2:4" x14ac:dyDescent="0.35">
      <c r="B199" s="10">
        <v>45894</v>
      </c>
      <c r="C199" s="11">
        <v>37.01</v>
      </c>
      <c r="D199" s="43">
        <f t="shared" si="3"/>
        <v>3.1385554839360154E-2</v>
      </c>
    </row>
    <row r="200" spans="2:4" x14ac:dyDescent="0.35">
      <c r="B200" s="10">
        <v>45891</v>
      </c>
      <c r="C200" s="11">
        <v>38.340000000000003</v>
      </c>
      <c r="D200" s="43">
        <f t="shared" si="3"/>
        <v>-3.5305591219433961E-2</v>
      </c>
    </row>
    <row r="201" spans="2:4" x14ac:dyDescent="0.35">
      <c r="B201" s="10">
        <v>45890</v>
      </c>
      <c r="C201" s="11">
        <v>38.049999999999997</v>
      </c>
      <c r="D201" s="43">
        <f t="shared" si="3"/>
        <v>7.5926533098036892E-3</v>
      </c>
    </row>
    <row r="202" spans="2:4" x14ac:dyDescent="0.35">
      <c r="B202" s="10">
        <v>45889</v>
      </c>
      <c r="C202" s="11">
        <v>37.32</v>
      </c>
      <c r="D202" s="43">
        <f t="shared" si="3"/>
        <v>1.9371708328551701E-2</v>
      </c>
    </row>
    <row r="203" spans="2:4" x14ac:dyDescent="0.35">
      <c r="B203" s="10">
        <v>45888</v>
      </c>
      <c r="C203" s="11">
        <v>37.840000000000003</v>
      </c>
      <c r="D203" s="43">
        <f t="shared" si="3"/>
        <v>-1.3837368204534496E-2</v>
      </c>
    </row>
    <row r="204" spans="2:4" x14ac:dyDescent="0.35">
      <c r="B204" s="10">
        <v>45887</v>
      </c>
      <c r="C204" s="11">
        <v>38.950000000000003</v>
      </c>
      <c r="D204" s="43">
        <f t="shared" si="3"/>
        <v>-2.8912028133079744E-2</v>
      </c>
    </row>
    <row r="205" spans="2:4" x14ac:dyDescent="0.35">
      <c r="B205" s="10">
        <v>45884</v>
      </c>
      <c r="C205" s="11">
        <v>38.67</v>
      </c>
      <c r="D205" s="43">
        <f t="shared" si="3"/>
        <v>7.2146666975515883E-3</v>
      </c>
    </row>
    <row r="206" spans="2:4" x14ac:dyDescent="0.35">
      <c r="B206" s="10">
        <v>45883</v>
      </c>
      <c r="C206" s="11">
        <v>38.72</v>
      </c>
      <c r="D206" s="43">
        <f t="shared" si="3"/>
        <v>-1.2921567891704617E-3</v>
      </c>
    </row>
    <row r="207" spans="2:4" x14ac:dyDescent="0.35">
      <c r="B207" s="10">
        <v>45882</v>
      </c>
      <c r="C207" s="11">
        <v>36.880000000000003</v>
      </c>
      <c r="D207" s="43">
        <f t="shared" si="3"/>
        <v>4.8686863719983188E-2</v>
      </c>
    </row>
    <row r="208" spans="2:4" x14ac:dyDescent="0.35">
      <c r="B208" s="10">
        <v>45881</v>
      </c>
      <c r="C208" s="11">
        <v>34.31</v>
      </c>
      <c r="D208" s="43">
        <f t="shared" si="3"/>
        <v>7.2232541818034693E-2</v>
      </c>
    </row>
    <row r="209" spans="2:4" x14ac:dyDescent="0.35">
      <c r="B209" s="10">
        <v>45880</v>
      </c>
      <c r="C209" s="11">
        <v>33.229999999999997</v>
      </c>
      <c r="D209" s="43">
        <f t="shared" si="3"/>
        <v>3.1983774503855561E-2</v>
      </c>
    </row>
    <row r="210" spans="2:4" x14ac:dyDescent="0.35">
      <c r="B210" s="10">
        <v>45877</v>
      </c>
      <c r="C210" s="11">
        <v>34.11</v>
      </c>
      <c r="D210" s="43">
        <f t="shared" si="3"/>
        <v>-2.6137514064051522E-2</v>
      </c>
    </row>
    <row r="211" spans="2:4" x14ac:dyDescent="0.35">
      <c r="B211" s="10">
        <v>45876</v>
      </c>
      <c r="C211" s="11">
        <v>35.25</v>
      </c>
      <c r="D211" s="43">
        <f t="shared" si="3"/>
        <v>-3.2874932827723365E-2</v>
      </c>
    </row>
    <row r="212" spans="2:4" x14ac:dyDescent="0.35">
      <c r="B212" s="10">
        <v>45875</v>
      </c>
      <c r="C212" s="11">
        <v>35.14</v>
      </c>
      <c r="D212" s="43">
        <f t="shared" si="3"/>
        <v>3.1254464993266187E-3</v>
      </c>
    </row>
    <row r="213" spans="2:4" x14ac:dyDescent="0.35">
      <c r="B213" s="10">
        <v>45874</v>
      </c>
      <c r="C213" s="11">
        <v>36.159999999999997</v>
      </c>
      <c r="D213" s="43">
        <f t="shared" si="3"/>
        <v>-2.8613452765024475E-2</v>
      </c>
    </row>
    <row r="214" spans="2:4" x14ac:dyDescent="0.35">
      <c r="B214" s="10">
        <v>45873</v>
      </c>
      <c r="C214" s="11">
        <v>36.58</v>
      </c>
      <c r="D214" s="43">
        <f t="shared" si="3"/>
        <v>-1.1548107438743902E-2</v>
      </c>
    </row>
    <row r="215" spans="2:4" x14ac:dyDescent="0.35">
      <c r="B215" s="10">
        <v>45870</v>
      </c>
      <c r="C215" s="11">
        <v>36.69</v>
      </c>
      <c r="D215" s="43">
        <f t="shared" si="3"/>
        <v>-3.0025954044710611E-3</v>
      </c>
    </row>
    <row r="216" spans="2:4" x14ac:dyDescent="0.35">
      <c r="B216" s="10">
        <v>45869</v>
      </c>
      <c r="C216" s="11">
        <v>37.64</v>
      </c>
      <c r="D216" s="43">
        <f t="shared" si="3"/>
        <v>-2.5563076349988251E-2</v>
      </c>
    </row>
    <row r="217" spans="2:4" x14ac:dyDescent="0.35">
      <c r="B217" s="10">
        <v>45868</v>
      </c>
      <c r="C217" s="11">
        <v>36.18</v>
      </c>
      <c r="D217" s="43">
        <f t="shared" si="3"/>
        <v>3.9560834750029743E-2</v>
      </c>
    </row>
    <row r="218" spans="2:4" x14ac:dyDescent="0.35">
      <c r="B218" s="10">
        <v>45867</v>
      </c>
      <c r="C218" s="11">
        <v>35.9</v>
      </c>
      <c r="D218" s="43">
        <f t="shared" si="3"/>
        <v>7.7691844729158577E-3</v>
      </c>
    </row>
    <row r="219" spans="2:4" x14ac:dyDescent="0.35">
      <c r="B219" s="10">
        <v>45866</v>
      </c>
      <c r="C219" s="11">
        <v>36.630000000000003</v>
      </c>
      <c r="D219" s="43">
        <f t="shared" si="3"/>
        <v>-2.0130281296489964E-2</v>
      </c>
    </row>
    <row r="220" spans="2:4" x14ac:dyDescent="0.35">
      <c r="B220" s="10">
        <v>45863</v>
      </c>
      <c r="C220" s="11">
        <v>37.18</v>
      </c>
      <c r="D220" s="43">
        <f t="shared" si="3"/>
        <v>-1.4903405502574919E-2</v>
      </c>
    </row>
    <row r="221" spans="2:4" x14ac:dyDescent="0.35">
      <c r="B221" s="10">
        <v>45862</v>
      </c>
      <c r="C221" s="11">
        <v>37.31</v>
      </c>
      <c r="D221" s="43">
        <f t="shared" si="3"/>
        <v>-3.4904049397686022E-3</v>
      </c>
    </row>
    <row r="222" spans="2:4" x14ac:dyDescent="0.35">
      <c r="B222" s="10">
        <v>45861</v>
      </c>
      <c r="C222" s="11">
        <v>37.93</v>
      </c>
      <c r="D222" s="43">
        <f t="shared" si="3"/>
        <v>-1.6480968467741001E-2</v>
      </c>
    </row>
    <row r="223" spans="2:4" x14ac:dyDescent="0.35">
      <c r="B223" s="10">
        <v>45860</v>
      </c>
      <c r="C223" s="11">
        <v>37.700000000000003</v>
      </c>
      <c r="D223" s="43">
        <f t="shared" si="3"/>
        <v>6.0822612468423238E-3</v>
      </c>
    </row>
    <row r="224" spans="2:4" x14ac:dyDescent="0.35">
      <c r="B224" s="10">
        <v>45859</v>
      </c>
      <c r="C224" s="11">
        <v>36.96</v>
      </c>
      <c r="D224" s="43">
        <f t="shared" si="3"/>
        <v>1.9823847680481697E-2</v>
      </c>
    </row>
    <row r="225" spans="2:4" x14ac:dyDescent="0.35">
      <c r="B225" s="10">
        <v>45856</v>
      </c>
      <c r="C225" s="11">
        <v>37.229999999999997</v>
      </c>
      <c r="D225" s="43">
        <f t="shared" si="3"/>
        <v>-7.2786411111420398E-3</v>
      </c>
    </row>
    <row r="226" spans="2:4" x14ac:dyDescent="0.35">
      <c r="B226" s="10">
        <v>45855</v>
      </c>
      <c r="C226" s="11">
        <v>38.89</v>
      </c>
      <c r="D226" s="43">
        <f t="shared" si="3"/>
        <v>-4.3622260283030512E-2</v>
      </c>
    </row>
    <row r="227" spans="2:4" x14ac:dyDescent="0.35">
      <c r="B227" s="10">
        <v>45854</v>
      </c>
      <c r="C227" s="11">
        <v>38.68</v>
      </c>
      <c r="D227" s="43">
        <f t="shared" si="3"/>
        <v>5.4144775825624592E-3</v>
      </c>
    </row>
    <row r="228" spans="2:4" x14ac:dyDescent="0.35">
      <c r="B228" s="10">
        <v>45853</v>
      </c>
      <c r="C228" s="11">
        <v>38.01</v>
      </c>
      <c r="D228" s="43">
        <f t="shared" si="3"/>
        <v>1.7473387583936236E-2</v>
      </c>
    </row>
    <row r="229" spans="2:4" x14ac:dyDescent="0.35">
      <c r="B229" s="10">
        <v>45852</v>
      </c>
      <c r="C229" s="11">
        <v>38.58</v>
      </c>
      <c r="D229" s="43">
        <f t="shared" si="3"/>
        <v>-1.4884724476425642E-2</v>
      </c>
    </row>
    <row r="230" spans="2:4" x14ac:dyDescent="0.35">
      <c r="B230" s="10">
        <v>45849</v>
      </c>
      <c r="C230" s="11">
        <v>37.01</v>
      </c>
      <c r="D230" s="43">
        <f t="shared" si="3"/>
        <v>4.1545861079518472E-2</v>
      </c>
    </row>
    <row r="231" spans="2:4" x14ac:dyDescent="0.35">
      <c r="B231" s="10">
        <v>45848</v>
      </c>
      <c r="C231" s="11">
        <v>36.590000000000003</v>
      </c>
      <c r="D231" s="43">
        <f t="shared" si="3"/>
        <v>1.1413167366948923E-2</v>
      </c>
    </row>
    <row r="232" spans="2:4" x14ac:dyDescent="0.35">
      <c r="B232" s="10">
        <v>45847</v>
      </c>
      <c r="C232" s="11">
        <v>36.630000000000003</v>
      </c>
      <c r="D232" s="43">
        <f t="shared" si="3"/>
        <v>-1.0925977596074957E-3</v>
      </c>
    </row>
    <row r="233" spans="2:4" x14ac:dyDescent="0.35">
      <c r="B233" s="10">
        <v>45846</v>
      </c>
      <c r="C233" s="11">
        <v>34.25</v>
      </c>
      <c r="D233" s="43">
        <f t="shared" si="3"/>
        <v>6.7181012082488861E-2</v>
      </c>
    </row>
    <row r="234" spans="2:4" x14ac:dyDescent="0.35">
      <c r="B234" s="10">
        <v>45845</v>
      </c>
      <c r="C234" s="11">
        <v>33.36</v>
      </c>
      <c r="D234" s="43">
        <f t="shared" si="3"/>
        <v>2.6328987217688234E-2</v>
      </c>
    </row>
    <row r="235" spans="2:4" x14ac:dyDescent="0.35">
      <c r="B235" s="10">
        <v>45841</v>
      </c>
      <c r="C235" s="11">
        <v>34.659999999999997</v>
      </c>
      <c r="D235" s="43">
        <f t="shared" si="3"/>
        <v>-3.8228706796913987E-2</v>
      </c>
    </row>
    <row r="236" spans="2:4" x14ac:dyDescent="0.35">
      <c r="B236" s="10">
        <v>45840</v>
      </c>
      <c r="C236" s="11">
        <v>34.36</v>
      </c>
      <c r="D236" s="43">
        <f t="shared" si="3"/>
        <v>8.6931871714053185E-3</v>
      </c>
    </row>
    <row r="237" spans="2:4" x14ac:dyDescent="0.35">
      <c r="B237" s="10">
        <v>45839</v>
      </c>
      <c r="C237" s="11">
        <v>33.64</v>
      </c>
      <c r="D237" s="43">
        <f t="shared" si="3"/>
        <v>2.1177262011307381E-2</v>
      </c>
    </row>
    <row r="238" spans="2:4" x14ac:dyDescent="0.35">
      <c r="B238" s="10">
        <v>45838</v>
      </c>
      <c r="C238" s="11">
        <v>33.04</v>
      </c>
      <c r="D238" s="43">
        <f t="shared" si="3"/>
        <v>1.7996886451970066E-2</v>
      </c>
    </row>
    <row r="239" spans="2:4" x14ac:dyDescent="0.35">
      <c r="B239" s="10">
        <v>45835</v>
      </c>
      <c r="C239" s="11">
        <v>33.159999999999997</v>
      </c>
      <c r="D239" s="43">
        <f t="shared" si="3"/>
        <v>-3.6253816143168569E-3</v>
      </c>
    </row>
    <row r="240" spans="2:4" x14ac:dyDescent="0.35">
      <c r="B240" s="10">
        <v>45834</v>
      </c>
      <c r="C240" s="11">
        <v>33.909999999999997</v>
      </c>
      <c r="D240" s="43">
        <f t="shared" si="3"/>
        <v>-2.236562587045297E-2</v>
      </c>
    </row>
    <row r="241" spans="2:4" x14ac:dyDescent="0.35">
      <c r="B241" s="10">
        <v>45833</v>
      </c>
      <c r="C241" s="11">
        <v>33.11</v>
      </c>
      <c r="D241" s="43">
        <f t="shared" si="3"/>
        <v>2.3874604578392297E-2</v>
      </c>
    </row>
    <row r="242" spans="2:4" x14ac:dyDescent="0.35">
      <c r="B242" s="10">
        <v>45832</v>
      </c>
      <c r="C242" s="11">
        <v>33.4</v>
      </c>
      <c r="D242" s="43">
        <f t="shared" si="3"/>
        <v>-8.7205484234997802E-3</v>
      </c>
    </row>
    <row r="243" spans="2:4" x14ac:dyDescent="0.35">
      <c r="B243" s="10">
        <v>45831</v>
      </c>
      <c r="C243" s="11">
        <v>32.64</v>
      </c>
      <c r="D243" s="43">
        <f t="shared" si="3"/>
        <v>2.3017369886748393E-2</v>
      </c>
    </row>
    <row r="244" spans="2:4" x14ac:dyDescent="0.35">
      <c r="B244" s="10">
        <v>45828</v>
      </c>
      <c r="C244" s="11">
        <v>32.43</v>
      </c>
      <c r="D244" s="43">
        <f t="shared" si="3"/>
        <v>6.4546097766796928E-3</v>
      </c>
    </row>
    <row r="245" spans="2:4" x14ac:dyDescent="0.35">
      <c r="B245" s="10">
        <v>45826</v>
      </c>
      <c r="C245" s="11">
        <v>32.729999999999997</v>
      </c>
      <c r="D245" s="43">
        <f t="shared" si="3"/>
        <v>-9.2081681938624774E-3</v>
      </c>
    </row>
    <row r="246" spans="2:4" x14ac:dyDescent="0.35">
      <c r="B246" s="10">
        <v>45825</v>
      </c>
      <c r="C246" s="11">
        <v>32.54</v>
      </c>
      <c r="D246" s="43">
        <f t="shared" si="3"/>
        <v>5.8219867221972589E-3</v>
      </c>
    </row>
    <row r="247" spans="2:4" x14ac:dyDescent="0.35">
      <c r="B247" s="10">
        <v>45824</v>
      </c>
      <c r="C247" s="11">
        <v>33.78</v>
      </c>
      <c r="D247" s="43">
        <f t="shared" si="3"/>
        <v>-3.7398809588762356E-2</v>
      </c>
    </row>
    <row r="248" spans="2:4" x14ac:dyDescent="0.35">
      <c r="B248" s="10">
        <v>45821</v>
      </c>
      <c r="C248" s="11">
        <v>34.380000000000003</v>
      </c>
      <c r="D248" s="43">
        <f t="shared" si="3"/>
        <v>-1.760608857504924E-2</v>
      </c>
    </row>
    <row r="249" spans="2:4" x14ac:dyDescent="0.35">
      <c r="B249" s="10">
        <v>45820</v>
      </c>
      <c r="C249" s="11">
        <v>33.200000000000003</v>
      </c>
      <c r="D249" s="43">
        <f t="shared" si="3"/>
        <v>3.4925124032260377E-2</v>
      </c>
    </row>
    <row r="250" spans="2:4" x14ac:dyDescent="0.35">
      <c r="B250" s="10">
        <v>45819</v>
      </c>
      <c r="C250" s="11">
        <v>33.11</v>
      </c>
      <c r="D250" s="43">
        <f t="shared" si="3"/>
        <v>2.7145243632881425E-3</v>
      </c>
    </row>
    <row r="251" spans="2:4" x14ac:dyDescent="0.35">
      <c r="B251" s="10">
        <v>45818</v>
      </c>
      <c r="C251" s="11">
        <v>34.54</v>
      </c>
      <c r="D251" s="43">
        <f t="shared" si="3"/>
        <v>-4.2282721159377631E-2</v>
      </c>
    </row>
    <row r="252" spans="2:4" x14ac:dyDescent="0.35">
      <c r="B252" s="10">
        <v>45817</v>
      </c>
      <c r="C252" s="11">
        <v>33.130000000000003</v>
      </c>
      <c r="D252" s="43">
        <f t="shared" si="3"/>
        <v>4.1678856406727971E-2</v>
      </c>
    </row>
    <row r="253" spans="2:4" x14ac:dyDescent="0.35">
      <c r="B253" s="10">
        <v>45814</v>
      </c>
      <c r="C253" s="11">
        <v>32.299999999999997</v>
      </c>
      <c r="D253" s="43">
        <f t="shared" si="3"/>
        <v>2.5371986083193753E-2</v>
      </c>
    </row>
    <row r="254" spans="2:4" x14ac:dyDescent="0.35">
      <c r="B254" s="10">
        <v>45813</v>
      </c>
      <c r="C254" s="11">
        <v>32.08</v>
      </c>
      <c r="D254" s="43">
        <f t="shared" si="3"/>
        <v>6.8344472302969894E-3</v>
      </c>
    </row>
    <row r="255" spans="2:4" x14ac:dyDescent="0.35">
      <c r="B255" s="10">
        <v>45812</v>
      </c>
      <c r="C255" s="11">
        <v>32.409999999999997</v>
      </c>
      <c r="D255" s="43">
        <f t="shared" si="3"/>
        <v>-1.0234234155142246E-2</v>
      </c>
    </row>
    <row r="256" spans="2:4" x14ac:dyDescent="0.35">
      <c r="B256" s="10">
        <v>45811</v>
      </c>
      <c r="C256" s="11">
        <v>32</v>
      </c>
      <c r="D256" s="43">
        <f t="shared" si="3"/>
        <v>1.2731114353729358E-2</v>
      </c>
    </row>
    <row r="257" spans="2:4" x14ac:dyDescent="0.35">
      <c r="B257" s="10">
        <v>45810</v>
      </c>
      <c r="C257" s="11">
        <v>31.21</v>
      </c>
      <c r="D257" s="43">
        <f t="shared" si="3"/>
        <v>2.4997346517038405E-2</v>
      </c>
    </row>
    <row r="258" spans="2:4" x14ac:dyDescent="0.35">
      <c r="B258" s="10">
        <v>45807</v>
      </c>
      <c r="C258" s="11">
        <v>31.02</v>
      </c>
      <c r="D258" s="43">
        <f t="shared" si="3"/>
        <v>6.1063985342952321E-3</v>
      </c>
    </row>
    <row r="259" spans="2:4" x14ac:dyDescent="0.35">
      <c r="B259" s="10">
        <v>45806</v>
      </c>
      <c r="C259" s="11">
        <v>31.32</v>
      </c>
      <c r="D259" s="43">
        <f t="shared" si="3"/>
        <v>-9.6247133742095575E-3</v>
      </c>
    </row>
    <row r="260" spans="2:4" x14ac:dyDescent="0.35">
      <c r="B260" s="10">
        <v>45805</v>
      </c>
      <c r="C260" s="11">
        <v>30.28</v>
      </c>
      <c r="D260" s="43">
        <f t="shared" ref="D260:D323" si="4">IFERROR(LN(C259/C260),"")</f>
        <v>3.3769442553354199E-2</v>
      </c>
    </row>
    <row r="261" spans="2:4" x14ac:dyDescent="0.35">
      <c r="B261" s="10">
        <v>45804</v>
      </c>
      <c r="C261" s="11">
        <v>30.53</v>
      </c>
      <c r="D261" s="43">
        <f t="shared" si="4"/>
        <v>-8.2223781775385037E-3</v>
      </c>
    </row>
    <row r="262" spans="2:4" x14ac:dyDescent="0.35">
      <c r="B262" s="10">
        <v>45800</v>
      </c>
      <c r="C262" s="11">
        <v>30.54</v>
      </c>
      <c r="D262" s="43">
        <f t="shared" si="4"/>
        <v>-3.274930436997838E-4</v>
      </c>
    </row>
    <row r="263" spans="2:4" x14ac:dyDescent="0.35">
      <c r="B263" s="10">
        <v>45799</v>
      </c>
      <c r="C263" s="11">
        <v>30.49</v>
      </c>
      <c r="D263" s="43">
        <f t="shared" si="4"/>
        <v>1.638538790322878E-3</v>
      </c>
    </row>
    <row r="264" spans="2:4" x14ac:dyDescent="0.35">
      <c r="B264" s="10">
        <v>45798</v>
      </c>
      <c r="C264" s="11">
        <v>31.31</v>
      </c>
      <c r="D264" s="43">
        <f t="shared" si="4"/>
        <v>-2.6538774338150908E-2</v>
      </c>
    </row>
    <row r="265" spans="2:4" x14ac:dyDescent="0.35">
      <c r="B265" s="10">
        <v>45797</v>
      </c>
      <c r="C265" s="11">
        <v>32.659999999999997</v>
      </c>
      <c r="D265" s="43">
        <f t="shared" si="4"/>
        <v>-4.2213552204004703E-2</v>
      </c>
    </row>
    <row r="266" spans="2:4" x14ac:dyDescent="0.35">
      <c r="B266" s="10">
        <v>45796</v>
      </c>
      <c r="C266" s="11">
        <v>30.75</v>
      </c>
      <c r="D266" s="43">
        <f t="shared" si="4"/>
        <v>6.0261093289792088E-2</v>
      </c>
    </row>
    <row r="267" spans="2:4" x14ac:dyDescent="0.35">
      <c r="B267" s="10">
        <v>45793</v>
      </c>
      <c r="C267" s="11">
        <v>31</v>
      </c>
      <c r="D267" s="43">
        <f t="shared" si="4"/>
        <v>-8.0972102326193618E-3</v>
      </c>
    </row>
    <row r="268" spans="2:4" x14ac:dyDescent="0.35">
      <c r="B268" s="10">
        <v>45792</v>
      </c>
      <c r="C268" s="11">
        <v>29.84</v>
      </c>
      <c r="D268" s="43">
        <f t="shared" si="4"/>
        <v>3.8137429149586059E-2</v>
      </c>
    </row>
    <row r="269" spans="2:4" x14ac:dyDescent="0.35">
      <c r="B269" s="10">
        <v>45791</v>
      </c>
      <c r="C269" s="11">
        <v>30</v>
      </c>
      <c r="D269" s="43">
        <f t="shared" si="4"/>
        <v>-5.3476063265952417E-3</v>
      </c>
    </row>
    <row r="270" spans="2:4" x14ac:dyDescent="0.35">
      <c r="B270" s="10">
        <v>45790</v>
      </c>
      <c r="C270" s="11">
        <v>30.61</v>
      </c>
      <c r="D270" s="43">
        <f t="shared" si="4"/>
        <v>-2.0129371295165756E-2</v>
      </c>
    </row>
    <row r="271" spans="2:4" x14ac:dyDescent="0.35">
      <c r="B271" s="10">
        <v>45789</v>
      </c>
      <c r="C271" s="11">
        <v>32.130000000000003</v>
      </c>
      <c r="D271" s="43">
        <f t="shared" si="4"/>
        <v>-4.8463420170446088E-2</v>
      </c>
    </row>
    <row r="272" spans="2:4" x14ac:dyDescent="0.35">
      <c r="B272" s="10">
        <v>45786</v>
      </c>
      <c r="C272" s="11">
        <v>31.7</v>
      </c>
      <c r="D272" s="43">
        <f t="shared" si="4"/>
        <v>1.3473492244532254E-2</v>
      </c>
    </row>
    <row r="273" spans="2:4" x14ac:dyDescent="0.35">
      <c r="B273" s="10">
        <v>45785</v>
      </c>
      <c r="C273" s="11">
        <v>32.479999999999997</v>
      </c>
      <c r="D273" s="43">
        <f t="shared" si="4"/>
        <v>-2.4307834410242226E-2</v>
      </c>
    </row>
    <row r="274" spans="2:4" x14ac:dyDescent="0.35">
      <c r="B274" s="10">
        <v>45784</v>
      </c>
      <c r="C274" s="11">
        <v>33.04</v>
      </c>
      <c r="D274" s="43">
        <f t="shared" si="4"/>
        <v>-1.7094433359300183E-2</v>
      </c>
    </row>
    <row r="275" spans="2:4" x14ac:dyDescent="0.35">
      <c r="B275" s="10">
        <v>45783</v>
      </c>
      <c r="C275" s="11">
        <v>33.97</v>
      </c>
      <c r="D275" s="43">
        <f t="shared" si="4"/>
        <v>-2.775883351971524E-2</v>
      </c>
    </row>
    <row r="276" spans="2:4" x14ac:dyDescent="0.35">
      <c r="B276" s="10">
        <v>45782</v>
      </c>
      <c r="C276" s="11">
        <v>36.67</v>
      </c>
      <c r="D276" s="43">
        <f t="shared" si="4"/>
        <v>-7.6481199910742148E-2</v>
      </c>
    </row>
    <row r="277" spans="2:4" x14ac:dyDescent="0.35">
      <c r="B277" s="10">
        <v>45779</v>
      </c>
      <c r="C277" s="11">
        <v>37.35</v>
      </c>
      <c r="D277" s="43">
        <f t="shared" si="4"/>
        <v>-1.8373929495591652E-2</v>
      </c>
    </row>
    <row r="278" spans="2:4" x14ac:dyDescent="0.35">
      <c r="B278" s="10">
        <v>45778</v>
      </c>
      <c r="C278" s="11">
        <v>42.92</v>
      </c>
      <c r="D278" s="43">
        <f t="shared" si="4"/>
        <v>-0.13900500618367137</v>
      </c>
    </row>
    <row r="279" spans="2:4" x14ac:dyDescent="0.35">
      <c r="B279" s="10">
        <v>45777</v>
      </c>
      <c r="C279" s="11">
        <v>42.84</v>
      </c>
      <c r="D279" s="43">
        <f t="shared" si="4"/>
        <v>1.8656721829496967E-3</v>
      </c>
    </row>
    <row r="280" spans="2:4" x14ac:dyDescent="0.35">
      <c r="B280" s="10">
        <v>45776</v>
      </c>
      <c r="C280" s="11">
        <v>41.29</v>
      </c>
      <c r="D280" s="43">
        <f t="shared" si="4"/>
        <v>3.6851905681549287E-2</v>
      </c>
    </row>
    <row r="281" spans="2:4" x14ac:dyDescent="0.35">
      <c r="B281" s="10">
        <v>45775</v>
      </c>
      <c r="C281" s="11">
        <v>41.22</v>
      </c>
      <c r="D281" s="43">
        <f t="shared" si="4"/>
        <v>1.6967644356859783E-3</v>
      </c>
    </row>
    <row r="282" spans="2:4" x14ac:dyDescent="0.35">
      <c r="B282" s="10">
        <v>45772</v>
      </c>
      <c r="C282" s="11">
        <v>40.43</v>
      </c>
      <c r="D282" s="43">
        <f t="shared" si="4"/>
        <v>1.9351491809633446E-2</v>
      </c>
    </row>
    <row r="283" spans="2:4" x14ac:dyDescent="0.35">
      <c r="B283" s="10">
        <v>45771</v>
      </c>
      <c r="C283" s="11">
        <v>40.33</v>
      </c>
      <c r="D283" s="43">
        <f t="shared" si="4"/>
        <v>2.4764747674028364E-3</v>
      </c>
    </row>
    <row r="284" spans="2:4" x14ac:dyDescent="0.35">
      <c r="B284" s="10">
        <v>45770</v>
      </c>
      <c r="C284" s="11">
        <v>38</v>
      </c>
      <c r="D284" s="43">
        <f t="shared" si="4"/>
        <v>5.950944915889101E-2</v>
      </c>
    </row>
    <row r="285" spans="2:4" x14ac:dyDescent="0.35">
      <c r="B285" s="10">
        <v>45769</v>
      </c>
      <c r="C285" s="11">
        <v>37.81</v>
      </c>
      <c r="D285" s="43">
        <f t="shared" si="4"/>
        <v>5.0125418235441935E-3</v>
      </c>
    </row>
    <row r="286" spans="2:4" x14ac:dyDescent="0.35">
      <c r="B286" s="10">
        <v>45768</v>
      </c>
      <c r="C286" s="11">
        <v>37.93</v>
      </c>
      <c r="D286" s="43">
        <f t="shared" si="4"/>
        <v>-3.1687377979659711E-3</v>
      </c>
    </row>
    <row r="287" spans="2:4" x14ac:dyDescent="0.35">
      <c r="B287" s="10">
        <v>45764</v>
      </c>
      <c r="C287" s="11">
        <v>39.479999999999997</v>
      </c>
      <c r="D287" s="43">
        <f t="shared" si="4"/>
        <v>-4.0051858864473197E-2</v>
      </c>
    </row>
    <row r="288" spans="2:4" x14ac:dyDescent="0.35">
      <c r="B288" s="10">
        <v>45763</v>
      </c>
      <c r="C288" s="11">
        <v>39.15</v>
      </c>
      <c r="D288" s="43">
        <f t="shared" si="4"/>
        <v>8.39379212846862E-3</v>
      </c>
    </row>
    <row r="289" spans="2:4" x14ac:dyDescent="0.35">
      <c r="B289" s="10">
        <v>45762</v>
      </c>
      <c r="C289" s="11">
        <v>38.56</v>
      </c>
      <c r="D289" s="43">
        <f t="shared" si="4"/>
        <v>1.5184952694467188E-2</v>
      </c>
    </row>
    <row r="290" spans="2:4" x14ac:dyDescent="0.35">
      <c r="B290" s="10">
        <v>45761</v>
      </c>
      <c r="C290" s="11">
        <v>39.81</v>
      </c>
      <c r="D290" s="43">
        <f t="shared" si="4"/>
        <v>-3.1902667269880967E-2</v>
      </c>
    </row>
    <row r="291" spans="2:4" x14ac:dyDescent="0.35">
      <c r="B291" s="10">
        <v>45758</v>
      </c>
      <c r="C291" s="11">
        <v>38.65</v>
      </c>
      <c r="D291" s="43">
        <f t="shared" si="4"/>
        <v>2.9571361978794952E-2</v>
      </c>
    </row>
    <row r="292" spans="2:4" x14ac:dyDescent="0.35">
      <c r="B292" s="10">
        <v>45757</v>
      </c>
      <c r="C292" s="11">
        <v>37.85</v>
      </c>
      <c r="D292" s="43">
        <f t="shared" si="4"/>
        <v>2.0915795149973038E-2</v>
      </c>
    </row>
    <row r="293" spans="2:4" x14ac:dyDescent="0.35">
      <c r="B293" s="10">
        <v>45756</v>
      </c>
      <c r="C293" s="11">
        <v>37.32</v>
      </c>
      <c r="D293" s="43">
        <f t="shared" si="4"/>
        <v>1.4101603904314768E-2</v>
      </c>
    </row>
    <row r="294" spans="2:4" x14ac:dyDescent="0.35">
      <c r="B294" s="10">
        <v>45755</v>
      </c>
      <c r="C294" s="11">
        <v>34.57</v>
      </c>
      <c r="D294" s="43">
        <f t="shared" si="4"/>
        <v>7.6543122045609813E-2</v>
      </c>
    </row>
    <row r="295" spans="2:4" x14ac:dyDescent="0.35">
      <c r="B295" s="10">
        <v>45754</v>
      </c>
      <c r="C295" s="11">
        <v>35.99</v>
      </c>
      <c r="D295" s="43">
        <f t="shared" si="4"/>
        <v>-4.0254868157406219E-2</v>
      </c>
    </row>
    <row r="296" spans="2:4" x14ac:dyDescent="0.35">
      <c r="B296" s="10">
        <v>45751</v>
      </c>
      <c r="C296" s="11">
        <v>37.36</v>
      </c>
      <c r="D296" s="43">
        <f t="shared" si="4"/>
        <v>-3.7359491269702422E-2</v>
      </c>
    </row>
    <row r="297" spans="2:4" x14ac:dyDescent="0.35">
      <c r="B297" s="10">
        <v>45750</v>
      </c>
      <c r="C297" s="11">
        <v>40.520000000000003</v>
      </c>
      <c r="D297" s="43">
        <f t="shared" si="4"/>
        <v>-8.1195066019840875E-2</v>
      </c>
    </row>
    <row r="298" spans="2:4" x14ac:dyDescent="0.35">
      <c r="B298" s="10">
        <v>45749</v>
      </c>
      <c r="C298" s="11">
        <v>40.25</v>
      </c>
      <c r="D298" s="43">
        <f t="shared" si="4"/>
        <v>6.6856755159104301E-3</v>
      </c>
    </row>
    <row r="299" spans="2:4" x14ac:dyDescent="0.35">
      <c r="B299" s="10">
        <v>45748</v>
      </c>
      <c r="C299" s="11">
        <v>37.5</v>
      </c>
      <c r="D299" s="43">
        <f t="shared" si="4"/>
        <v>7.0769070888207164E-2</v>
      </c>
    </row>
    <row r="300" spans="2:4" x14ac:dyDescent="0.35">
      <c r="B300" s="10">
        <v>45747</v>
      </c>
      <c r="C300" s="11">
        <v>40.19</v>
      </c>
      <c r="D300" s="43">
        <f t="shared" si="4"/>
        <v>-6.9277275484744535E-2</v>
      </c>
    </row>
    <row r="301" spans="2:4" x14ac:dyDescent="0.35">
      <c r="B301" s="10">
        <v>45744</v>
      </c>
      <c r="C301" s="11">
        <v>43.19</v>
      </c>
      <c r="D301" s="43">
        <f t="shared" si="4"/>
        <v>-7.1990778511500042E-2</v>
      </c>
    </row>
    <row r="302" spans="2:4" x14ac:dyDescent="0.35">
      <c r="B302" s="10">
        <v>45743</v>
      </c>
      <c r="C302" s="11">
        <v>42.99</v>
      </c>
      <c r="D302" s="43">
        <f t="shared" si="4"/>
        <v>4.6414564644193966E-3</v>
      </c>
    </row>
    <row r="303" spans="2:4" x14ac:dyDescent="0.35">
      <c r="B303" s="10">
        <v>45742</v>
      </c>
      <c r="C303" s="11">
        <v>43.63</v>
      </c>
      <c r="D303" s="43">
        <f t="shared" si="4"/>
        <v>-1.4777456627328111E-2</v>
      </c>
    </row>
    <row r="304" spans="2:4" x14ac:dyDescent="0.35">
      <c r="B304" s="10">
        <v>45741</v>
      </c>
      <c r="C304" s="11">
        <v>44.55</v>
      </c>
      <c r="D304" s="43">
        <f t="shared" si="4"/>
        <v>-2.0867166781299937E-2</v>
      </c>
    </row>
    <row r="305" spans="2:4" x14ac:dyDescent="0.35">
      <c r="B305" s="10">
        <v>45740</v>
      </c>
      <c r="C305" s="11">
        <v>46.57</v>
      </c>
      <c r="D305" s="43">
        <f t="shared" si="4"/>
        <v>-4.4344403077467565E-2</v>
      </c>
    </row>
    <row r="306" spans="2:4" x14ac:dyDescent="0.35">
      <c r="B306" s="10">
        <v>45737</v>
      </c>
      <c r="C306" s="11">
        <v>45.43</v>
      </c>
      <c r="D306" s="43">
        <f t="shared" si="4"/>
        <v>2.478387722297393E-2</v>
      </c>
    </row>
    <row r="307" spans="2:4" x14ac:dyDescent="0.35">
      <c r="B307" s="10">
        <v>45736</v>
      </c>
      <c r="C307" s="11">
        <v>43.1</v>
      </c>
      <c r="D307" s="43">
        <f t="shared" si="4"/>
        <v>5.2649682661609853E-2</v>
      </c>
    </row>
    <row r="308" spans="2:4" x14ac:dyDescent="0.35">
      <c r="B308" s="10">
        <v>45735</v>
      </c>
      <c r="C308" s="11">
        <v>43.45</v>
      </c>
      <c r="D308" s="43">
        <f t="shared" si="4"/>
        <v>-8.0878546016990051E-3</v>
      </c>
    </row>
    <row r="309" spans="2:4" x14ac:dyDescent="0.35">
      <c r="B309" s="10">
        <v>45734</v>
      </c>
      <c r="C309" s="11">
        <v>43.28</v>
      </c>
      <c r="D309" s="43">
        <f t="shared" si="4"/>
        <v>3.9202171731750951E-3</v>
      </c>
    </row>
    <row r="310" spans="2:4" x14ac:dyDescent="0.35">
      <c r="B310" s="10">
        <v>45733</v>
      </c>
      <c r="C310" s="11">
        <v>44.91</v>
      </c>
      <c r="D310" s="43">
        <f t="shared" si="4"/>
        <v>-3.6969852561420533E-2</v>
      </c>
    </row>
    <row r="311" spans="2:4" x14ac:dyDescent="0.35">
      <c r="B311" s="10">
        <v>45730</v>
      </c>
      <c r="C311" s="11">
        <v>44.36</v>
      </c>
      <c r="D311" s="43">
        <f t="shared" si="4"/>
        <v>1.2322324617480377E-2</v>
      </c>
    </row>
    <row r="312" spans="2:4" x14ac:dyDescent="0.35">
      <c r="B312" s="10">
        <v>45729</v>
      </c>
      <c r="C312" s="11">
        <v>44.4</v>
      </c>
      <c r="D312" s="43">
        <f t="shared" si="4"/>
        <v>-9.0130695601277572E-4</v>
      </c>
    </row>
    <row r="313" spans="2:4" x14ac:dyDescent="0.35">
      <c r="B313" s="10">
        <v>45728</v>
      </c>
      <c r="C313" s="11">
        <v>43.99</v>
      </c>
      <c r="D313" s="43">
        <f t="shared" si="4"/>
        <v>9.2771340775505383E-3</v>
      </c>
    </row>
    <row r="314" spans="2:4" x14ac:dyDescent="0.35">
      <c r="B314" s="10">
        <v>45727</v>
      </c>
      <c r="C314" s="11">
        <v>44.4</v>
      </c>
      <c r="D314" s="43">
        <f t="shared" si="4"/>
        <v>-9.2771340775506424E-3</v>
      </c>
    </row>
    <row r="315" spans="2:4" x14ac:dyDescent="0.35">
      <c r="B315" s="10">
        <v>45726</v>
      </c>
      <c r="C315" s="11">
        <v>43.31</v>
      </c>
      <c r="D315" s="43">
        <f t="shared" si="4"/>
        <v>2.4855914211643751E-2</v>
      </c>
    </row>
    <row r="316" spans="2:4" x14ac:dyDescent="0.35">
      <c r="B316" s="10">
        <v>45723</v>
      </c>
      <c r="C316" s="11">
        <v>43.43</v>
      </c>
      <c r="D316" s="43">
        <f t="shared" si="4"/>
        <v>-2.7668913201951344E-3</v>
      </c>
    </row>
    <row r="317" spans="2:4" x14ac:dyDescent="0.35">
      <c r="B317" s="10">
        <v>45722</v>
      </c>
      <c r="C317" s="11">
        <v>43.27</v>
      </c>
      <c r="D317" s="43">
        <f t="shared" si="4"/>
        <v>3.6908923099369592E-3</v>
      </c>
    </row>
    <row r="318" spans="2:4" x14ac:dyDescent="0.35">
      <c r="B318" s="10">
        <v>45721</v>
      </c>
      <c r="C318" s="11">
        <v>43.88</v>
      </c>
      <c r="D318" s="43">
        <f t="shared" si="4"/>
        <v>-1.399908117023607E-2</v>
      </c>
    </row>
    <row r="319" spans="2:4" x14ac:dyDescent="0.35">
      <c r="B319" s="10">
        <v>45720</v>
      </c>
      <c r="C319" s="11">
        <v>43.69</v>
      </c>
      <c r="D319" s="43">
        <f t="shared" si="4"/>
        <v>4.339392443685192E-3</v>
      </c>
    </row>
    <row r="320" spans="2:4" x14ac:dyDescent="0.35">
      <c r="B320" s="10">
        <v>45719</v>
      </c>
      <c r="C320" s="11">
        <v>42.89</v>
      </c>
      <c r="D320" s="43">
        <f t="shared" si="4"/>
        <v>1.8480544434555254E-2</v>
      </c>
    </row>
    <row r="321" spans="2:4" x14ac:dyDescent="0.35">
      <c r="B321" s="10">
        <v>45716</v>
      </c>
      <c r="C321" s="11">
        <v>46</v>
      </c>
      <c r="D321" s="43">
        <f t="shared" si="4"/>
        <v>-7.0002697960305865E-2</v>
      </c>
    </row>
    <row r="322" spans="2:4" x14ac:dyDescent="0.35">
      <c r="B322" s="10">
        <v>45715</v>
      </c>
      <c r="C322" s="11">
        <v>47.45</v>
      </c>
      <c r="D322" s="43">
        <f t="shared" si="4"/>
        <v>-3.1035128566841944E-2</v>
      </c>
    </row>
    <row r="323" spans="2:4" x14ac:dyDescent="0.35">
      <c r="B323" s="10">
        <v>45714</v>
      </c>
      <c r="C323" s="11">
        <v>46.86</v>
      </c>
      <c r="D323" s="43">
        <f t="shared" si="4"/>
        <v>1.2512091976287424E-2</v>
      </c>
    </row>
    <row r="324" spans="2:4" x14ac:dyDescent="0.35">
      <c r="B324" s="10">
        <v>45713</v>
      </c>
      <c r="C324" s="11">
        <v>46.65</v>
      </c>
      <c r="D324" s="43">
        <f t="shared" ref="D324:D387" si="5">IFERROR(LN(C323/C324),"")</f>
        <v>4.4915057862968538E-3</v>
      </c>
    </row>
    <row r="325" spans="2:4" x14ac:dyDescent="0.35">
      <c r="B325" s="10">
        <v>45712</v>
      </c>
      <c r="C325" s="11">
        <v>48.14</v>
      </c>
      <c r="D325" s="43">
        <f t="shared" si="5"/>
        <v>-3.1440505061573067E-2</v>
      </c>
    </row>
    <row r="326" spans="2:4" x14ac:dyDescent="0.35">
      <c r="B326" s="10">
        <v>45709</v>
      </c>
      <c r="C326" s="11">
        <v>50.26</v>
      </c>
      <c r="D326" s="43">
        <f t="shared" si="5"/>
        <v>-4.3096099760520194E-2</v>
      </c>
    </row>
    <row r="327" spans="2:4" x14ac:dyDescent="0.35">
      <c r="B327" s="10">
        <v>45708</v>
      </c>
      <c r="C327" s="11">
        <v>51.12</v>
      </c>
      <c r="D327" s="43">
        <f t="shared" si="5"/>
        <v>-1.6966277953833209E-2</v>
      </c>
    </row>
    <row r="328" spans="2:4" x14ac:dyDescent="0.35">
      <c r="B328" s="10">
        <v>45707</v>
      </c>
      <c r="C328" s="11">
        <v>46.4</v>
      </c>
      <c r="D328" s="43">
        <f t="shared" si="5"/>
        <v>9.6876350837069816E-2</v>
      </c>
    </row>
    <row r="329" spans="2:4" x14ac:dyDescent="0.35">
      <c r="B329" s="10">
        <v>45706</v>
      </c>
      <c r="C329" s="11">
        <v>45.39</v>
      </c>
      <c r="D329" s="43">
        <f t="shared" si="5"/>
        <v>2.2007642763835367E-2</v>
      </c>
    </row>
    <row r="330" spans="2:4" x14ac:dyDescent="0.35">
      <c r="B330" s="10">
        <v>45702</v>
      </c>
      <c r="C330" s="11">
        <v>46.16</v>
      </c>
      <c r="D330" s="43">
        <f t="shared" si="5"/>
        <v>-1.6821805731469793E-2</v>
      </c>
    </row>
    <row r="331" spans="2:4" x14ac:dyDescent="0.35">
      <c r="B331" s="10">
        <v>45701</v>
      </c>
      <c r="C331" s="11">
        <v>41.62</v>
      </c>
      <c r="D331" s="43">
        <f t="shared" si="5"/>
        <v>0.10353280123435582</v>
      </c>
    </row>
    <row r="332" spans="2:4" x14ac:dyDescent="0.35">
      <c r="B332" s="10">
        <v>45700</v>
      </c>
      <c r="C332" s="11">
        <v>42.18</v>
      </c>
      <c r="D332" s="43">
        <f t="shared" si="5"/>
        <v>-1.3365354085140264E-2</v>
      </c>
    </row>
    <row r="333" spans="2:4" x14ac:dyDescent="0.35">
      <c r="B333" s="10">
        <v>45699</v>
      </c>
      <c r="C333" s="11">
        <v>41.56</v>
      </c>
      <c r="D333" s="43">
        <f t="shared" si="5"/>
        <v>1.4808008819601894E-2</v>
      </c>
    </row>
    <row r="334" spans="2:4" x14ac:dyDescent="0.35">
      <c r="B334" s="10">
        <v>45698</v>
      </c>
      <c r="C334" s="11">
        <v>42.21</v>
      </c>
      <c r="D334" s="43">
        <f t="shared" si="5"/>
        <v>-1.5518993563380729E-2</v>
      </c>
    </row>
    <row r="335" spans="2:4" x14ac:dyDescent="0.35">
      <c r="B335" s="10">
        <v>45695</v>
      </c>
      <c r="C335" s="11">
        <v>42.76</v>
      </c>
      <c r="D335" s="43">
        <f t="shared" si="5"/>
        <v>-1.2945926362437075E-2</v>
      </c>
    </row>
    <row r="336" spans="2:4" x14ac:dyDescent="0.35">
      <c r="B336" s="10">
        <v>45694</v>
      </c>
      <c r="C336" s="11">
        <v>46.17</v>
      </c>
      <c r="D336" s="43">
        <f t="shared" si="5"/>
        <v>-7.6727150362053215E-2</v>
      </c>
    </row>
    <row r="337" spans="2:4" x14ac:dyDescent="0.35">
      <c r="B337" s="10">
        <v>45693</v>
      </c>
      <c r="C337" s="11">
        <v>50.41</v>
      </c>
      <c r="D337" s="43">
        <f t="shared" si="5"/>
        <v>-8.7859331575641839E-2</v>
      </c>
    </row>
    <row r="338" spans="2:4" x14ac:dyDescent="0.35">
      <c r="B338" s="10">
        <v>45692</v>
      </c>
      <c r="C338" s="11">
        <v>49.2</v>
      </c>
      <c r="D338" s="43">
        <f t="shared" si="5"/>
        <v>2.4295944596276885E-2</v>
      </c>
    </row>
    <row r="339" spans="2:4" x14ac:dyDescent="0.35">
      <c r="B339" s="10">
        <v>45691</v>
      </c>
      <c r="C339" s="11">
        <v>48.47</v>
      </c>
      <c r="D339" s="43">
        <f t="shared" si="5"/>
        <v>1.494857364097779E-2</v>
      </c>
    </row>
    <row r="340" spans="2:4" x14ac:dyDescent="0.35">
      <c r="B340" s="10">
        <v>45688</v>
      </c>
      <c r="C340" s="11">
        <v>49.46</v>
      </c>
      <c r="D340" s="43">
        <f t="shared" si="5"/>
        <v>-2.021921223598562E-2</v>
      </c>
    </row>
    <row r="341" spans="2:4" x14ac:dyDescent="0.35">
      <c r="B341" s="10">
        <v>45687</v>
      </c>
      <c r="C341" s="11">
        <v>49.97</v>
      </c>
      <c r="D341" s="43">
        <f t="shared" si="5"/>
        <v>-1.0258563262843455E-2</v>
      </c>
    </row>
    <row r="342" spans="2:4" x14ac:dyDescent="0.35">
      <c r="B342" s="10">
        <v>45686</v>
      </c>
      <c r="C342" s="11">
        <v>48.65</v>
      </c>
      <c r="D342" s="43">
        <f t="shared" si="5"/>
        <v>2.677101672409957E-2</v>
      </c>
    </row>
    <row r="343" spans="2:4" x14ac:dyDescent="0.35">
      <c r="B343" s="10">
        <v>45685</v>
      </c>
      <c r="C343" s="11">
        <v>48.7</v>
      </c>
      <c r="D343" s="43">
        <f t="shared" si="5"/>
        <v>-1.0272214565301364E-3</v>
      </c>
    </row>
    <row r="344" spans="2:4" x14ac:dyDescent="0.35">
      <c r="B344" s="10">
        <v>45684</v>
      </c>
      <c r="C344" s="11">
        <v>49.94</v>
      </c>
      <c r="D344" s="43">
        <f t="shared" si="5"/>
        <v>-2.5143254763082899E-2</v>
      </c>
    </row>
    <row r="345" spans="2:4" x14ac:dyDescent="0.35">
      <c r="B345" s="10">
        <v>45681</v>
      </c>
      <c r="C345" s="11">
        <v>50.75</v>
      </c>
      <c r="D345" s="43">
        <f t="shared" si="5"/>
        <v>-1.6089333070269593E-2</v>
      </c>
    </row>
    <row r="346" spans="2:4" x14ac:dyDescent="0.35">
      <c r="B346" s="10">
        <v>45680</v>
      </c>
      <c r="C346" s="11">
        <v>47.86</v>
      </c>
      <c r="D346" s="43">
        <f t="shared" si="5"/>
        <v>5.8631535441669561E-2</v>
      </c>
    </row>
    <row r="347" spans="2:4" x14ac:dyDescent="0.35">
      <c r="B347" s="10">
        <v>45679</v>
      </c>
      <c r="C347" s="11">
        <v>46.82</v>
      </c>
      <c r="D347" s="43">
        <f t="shared" si="5"/>
        <v>2.1969620417462588E-2</v>
      </c>
    </row>
    <row r="348" spans="2:4" x14ac:dyDescent="0.35">
      <c r="B348" s="10">
        <v>45678</v>
      </c>
      <c r="C348" s="11">
        <v>45.82</v>
      </c>
      <c r="D348" s="43">
        <f t="shared" si="5"/>
        <v>2.1589785037415245E-2</v>
      </c>
    </row>
    <row r="349" spans="2:4" x14ac:dyDescent="0.35">
      <c r="B349" s="10">
        <v>45674</v>
      </c>
      <c r="C349" s="11">
        <v>45.74</v>
      </c>
      <c r="D349" s="43">
        <f t="shared" si="5"/>
        <v>1.7474884307142413E-3</v>
      </c>
    </row>
    <row r="350" spans="2:4" x14ac:dyDescent="0.35">
      <c r="B350" s="10">
        <v>45673</v>
      </c>
      <c r="C350" s="11">
        <v>46.99</v>
      </c>
      <c r="D350" s="43">
        <f t="shared" si="5"/>
        <v>-2.6961624520089301E-2</v>
      </c>
    </row>
    <row r="351" spans="2:4" x14ac:dyDescent="0.35">
      <c r="B351" s="10">
        <v>45672</v>
      </c>
      <c r="C351" s="11">
        <v>46.87</v>
      </c>
      <c r="D351" s="43">
        <f t="shared" si="5"/>
        <v>2.5570011801096916E-3</v>
      </c>
    </row>
    <row r="352" spans="2:4" x14ac:dyDescent="0.35">
      <c r="B352" s="10">
        <v>45671</v>
      </c>
      <c r="C352" s="11">
        <v>45.23</v>
      </c>
      <c r="D352" s="43">
        <f t="shared" si="5"/>
        <v>3.5617228444863036E-2</v>
      </c>
    </row>
    <row r="353" spans="2:4" x14ac:dyDescent="0.35">
      <c r="B353" s="10">
        <v>45670</v>
      </c>
      <c r="C353" s="11">
        <v>46.71</v>
      </c>
      <c r="D353" s="43">
        <f t="shared" si="5"/>
        <v>-3.2197691024264924E-2</v>
      </c>
    </row>
    <row r="354" spans="2:4" x14ac:dyDescent="0.35">
      <c r="B354" s="10">
        <v>45667</v>
      </c>
      <c r="C354" s="11">
        <v>46.62</v>
      </c>
      <c r="D354" s="43">
        <f t="shared" si="5"/>
        <v>1.9286409064056863E-3</v>
      </c>
    </row>
    <row r="355" spans="2:4" x14ac:dyDescent="0.35">
      <c r="B355" s="10">
        <v>45665</v>
      </c>
      <c r="C355" s="11">
        <v>47.37</v>
      </c>
      <c r="D355" s="43">
        <f t="shared" si="5"/>
        <v>-1.5959483328049369E-2</v>
      </c>
    </row>
    <row r="356" spans="2:4" x14ac:dyDescent="0.35">
      <c r="B356" s="10">
        <v>45664</v>
      </c>
      <c r="C356" s="11">
        <v>48.51</v>
      </c>
      <c r="D356" s="43">
        <f t="shared" si="5"/>
        <v>-2.3780845321464721E-2</v>
      </c>
    </row>
    <row r="357" spans="2:4" x14ac:dyDescent="0.35">
      <c r="B357" s="10">
        <v>45663</v>
      </c>
      <c r="C357" s="11">
        <v>49.19</v>
      </c>
      <c r="D357" s="43">
        <f t="shared" si="5"/>
        <v>-1.3920388550123246E-2</v>
      </c>
    </row>
    <row r="358" spans="2:4" x14ac:dyDescent="0.35">
      <c r="B358" s="10">
        <v>45660</v>
      </c>
      <c r="C358" s="11">
        <v>49.36</v>
      </c>
      <c r="D358" s="43">
        <f t="shared" si="5"/>
        <v>-3.4500287898839993E-3</v>
      </c>
    </row>
    <row r="359" spans="2:4" x14ac:dyDescent="0.35">
      <c r="B359" s="10">
        <v>45659</v>
      </c>
      <c r="C359" s="11">
        <v>48.93</v>
      </c>
      <c r="D359" s="43">
        <f t="shared" si="5"/>
        <v>8.749674296100126E-3</v>
      </c>
    </row>
    <row r="360" spans="2:4" x14ac:dyDescent="0.35">
      <c r="B360" s="10">
        <v>45657</v>
      </c>
      <c r="C360" s="11">
        <v>47.04</v>
      </c>
      <c r="D360" s="43">
        <f t="shared" si="5"/>
        <v>3.9392401710660684E-2</v>
      </c>
    </row>
    <row r="361" spans="2:4" x14ac:dyDescent="0.35">
      <c r="B361" s="10">
        <v>45656</v>
      </c>
      <c r="C361" s="11">
        <v>47.15</v>
      </c>
      <c r="D361" s="43">
        <f t="shared" si="5"/>
        <v>-2.3357054890950613E-3</v>
      </c>
    </row>
    <row r="362" spans="2:4" x14ac:dyDescent="0.35">
      <c r="B362" s="10">
        <v>45653</v>
      </c>
      <c r="C362" s="11">
        <v>47.36</v>
      </c>
      <c r="D362" s="43">
        <f t="shared" si="5"/>
        <v>-4.4439814962837203E-3</v>
      </c>
    </row>
    <row r="363" spans="2:4" x14ac:dyDescent="0.35">
      <c r="B363" s="10">
        <v>45652</v>
      </c>
      <c r="C363" s="11">
        <v>48.54</v>
      </c>
      <c r="D363" s="43">
        <f t="shared" si="5"/>
        <v>-2.4610209722705102E-2</v>
      </c>
    </row>
    <row r="364" spans="2:4" x14ac:dyDescent="0.35">
      <c r="B364" s="10">
        <v>45650</v>
      </c>
      <c r="C364" s="11">
        <v>48.53</v>
      </c>
      <c r="D364" s="43">
        <f t="shared" si="5"/>
        <v>2.0603688133041413E-4</v>
      </c>
    </row>
    <row r="365" spans="2:4" x14ac:dyDescent="0.35">
      <c r="B365" s="10">
        <v>45649</v>
      </c>
      <c r="C365" s="11">
        <v>48.95</v>
      </c>
      <c r="D365" s="43">
        <f t="shared" si="5"/>
        <v>-8.6172055593945578E-3</v>
      </c>
    </row>
    <row r="366" spans="2:4" x14ac:dyDescent="0.35">
      <c r="B366" s="10">
        <v>45646</v>
      </c>
      <c r="C366" s="11">
        <v>48.87</v>
      </c>
      <c r="D366" s="43">
        <f t="shared" si="5"/>
        <v>1.6356576944560057E-3</v>
      </c>
    </row>
    <row r="367" spans="2:4" x14ac:dyDescent="0.35">
      <c r="B367" s="10">
        <v>45645</v>
      </c>
      <c r="C367" s="11">
        <v>46.74</v>
      </c>
      <c r="D367" s="43">
        <f t="shared" si="5"/>
        <v>4.4563382171351362E-2</v>
      </c>
    </row>
    <row r="368" spans="2:4" x14ac:dyDescent="0.35">
      <c r="B368" s="10">
        <v>45644</v>
      </c>
      <c r="C368" s="11">
        <v>46.36</v>
      </c>
      <c r="D368" s="43">
        <f t="shared" si="5"/>
        <v>8.1633106391610557E-3</v>
      </c>
    </row>
    <row r="369" spans="2:4" x14ac:dyDescent="0.35">
      <c r="B369" s="10">
        <v>45643</v>
      </c>
      <c r="C369" s="11">
        <v>47.78</v>
      </c>
      <c r="D369" s="43">
        <f t="shared" si="5"/>
        <v>-3.017012342611252E-2</v>
      </c>
    </row>
    <row r="370" spans="2:4" x14ac:dyDescent="0.35">
      <c r="B370" s="10">
        <v>45642</v>
      </c>
      <c r="C370" s="11">
        <v>49.02</v>
      </c>
      <c r="D370" s="43">
        <f t="shared" si="5"/>
        <v>-2.562123620230311E-2</v>
      </c>
    </row>
    <row r="371" spans="2:4" x14ac:dyDescent="0.35">
      <c r="B371" s="10">
        <v>45639</v>
      </c>
      <c r="C371" s="11">
        <v>48.65</v>
      </c>
      <c r="D371" s="43">
        <f t="shared" si="5"/>
        <v>7.5765694679524693E-3</v>
      </c>
    </row>
    <row r="372" spans="2:4" x14ac:dyDescent="0.35">
      <c r="B372" s="10">
        <v>45638</v>
      </c>
      <c r="C372" s="11">
        <v>50.24</v>
      </c>
      <c r="D372" s="43">
        <f t="shared" si="5"/>
        <v>-3.2159713527929241E-2</v>
      </c>
    </row>
    <row r="373" spans="2:4" x14ac:dyDescent="0.35">
      <c r="B373" s="10">
        <v>45637</v>
      </c>
      <c r="C373" s="11">
        <v>50.7</v>
      </c>
      <c r="D373" s="43">
        <f t="shared" si="5"/>
        <v>-9.1143884371942454E-3</v>
      </c>
    </row>
    <row r="374" spans="2:4" x14ac:dyDescent="0.35">
      <c r="B374" s="10">
        <v>45636</v>
      </c>
      <c r="C374" s="11">
        <v>50.55</v>
      </c>
      <c r="D374" s="43">
        <f t="shared" si="5"/>
        <v>2.9629651306572699E-3</v>
      </c>
    </row>
    <row r="375" spans="2:4" x14ac:dyDescent="0.35">
      <c r="B375" s="10">
        <v>45635</v>
      </c>
      <c r="C375" s="11">
        <v>50.5</v>
      </c>
      <c r="D375" s="43">
        <f t="shared" si="5"/>
        <v>9.8960918516628185E-4</v>
      </c>
    </row>
    <row r="376" spans="2:4" x14ac:dyDescent="0.35">
      <c r="B376" s="10">
        <v>45632</v>
      </c>
      <c r="C376" s="11">
        <v>50.96</v>
      </c>
      <c r="D376" s="43">
        <f t="shared" si="5"/>
        <v>-9.0676749825937975E-3</v>
      </c>
    </row>
    <row r="377" spans="2:4" x14ac:dyDescent="0.35">
      <c r="B377" s="10">
        <v>45631</v>
      </c>
      <c r="C377" s="11">
        <v>50.4</v>
      </c>
      <c r="D377" s="43">
        <f t="shared" si="5"/>
        <v>1.1049836186584935E-2</v>
      </c>
    </row>
    <row r="378" spans="2:4" x14ac:dyDescent="0.35">
      <c r="B378" s="10">
        <v>45630</v>
      </c>
      <c r="C378" s="11">
        <v>50.44</v>
      </c>
      <c r="D378" s="43">
        <f t="shared" si="5"/>
        <v>-7.9333601939587397E-4</v>
      </c>
    </row>
    <row r="379" spans="2:4" x14ac:dyDescent="0.35">
      <c r="B379" s="10">
        <v>45629</v>
      </c>
      <c r="C379" s="11">
        <v>51.51</v>
      </c>
      <c r="D379" s="43">
        <f t="shared" si="5"/>
        <v>-2.0991452480775056E-2</v>
      </c>
    </row>
    <row r="380" spans="2:4" x14ac:dyDescent="0.35">
      <c r="B380" s="10">
        <v>45628</v>
      </c>
      <c r="C380" s="11">
        <v>50.63</v>
      </c>
      <c r="D380" s="43">
        <f t="shared" si="5"/>
        <v>1.7231677595675968E-2</v>
      </c>
    </row>
    <row r="381" spans="2:4" x14ac:dyDescent="0.35">
      <c r="B381" s="10">
        <v>45625</v>
      </c>
      <c r="C381" s="11">
        <v>51.86</v>
      </c>
      <c r="D381" s="43">
        <f t="shared" si="5"/>
        <v>-2.4003494128700439E-2</v>
      </c>
    </row>
    <row r="382" spans="2:4" x14ac:dyDescent="0.35">
      <c r="B382" s="10">
        <v>45623</v>
      </c>
      <c r="C382" s="11">
        <v>52.22</v>
      </c>
      <c r="D382" s="43">
        <f t="shared" si="5"/>
        <v>-6.9177831604644822E-3</v>
      </c>
    </row>
    <row r="383" spans="2:4" x14ac:dyDescent="0.35">
      <c r="B383" s="10">
        <v>45622</v>
      </c>
      <c r="C383" s="11">
        <v>52.02</v>
      </c>
      <c r="D383" s="43">
        <f t="shared" si="5"/>
        <v>3.8373032504772637E-3</v>
      </c>
    </row>
    <row r="384" spans="2:4" x14ac:dyDescent="0.35">
      <c r="B384" s="10">
        <v>45621</v>
      </c>
      <c r="C384" s="11">
        <v>50.25</v>
      </c>
      <c r="D384" s="43">
        <f t="shared" si="5"/>
        <v>3.4617713081320514E-2</v>
      </c>
    </row>
    <row r="385" spans="2:4" x14ac:dyDescent="0.35">
      <c r="B385" s="10">
        <v>45618</v>
      </c>
      <c r="C385" s="11">
        <v>49.1</v>
      </c>
      <c r="D385" s="43">
        <f t="shared" si="5"/>
        <v>2.3151512138710219E-2</v>
      </c>
    </row>
    <row r="386" spans="2:4" x14ac:dyDescent="0.35">
      <c r="B386" s="10">
        <v>45617</v>
      </c>
      <c r="C386" s="11">
        <v>47.67</v>
      </c>
      <c r="D386" s="43">
        <f t="shared" si="5"/>
        <v>2.955676558374051E-2</v>
      </c>
    </row>
    <row r="387" spans="2:4" x14ac:dyDescent="0.35">
      <c r="B387" s="10">
        <v>45616</v>
      </c>
      <c r="C387" s="11">
        <v>49.86</v>
      </c>
      <c r="D387" s="43">
        <f t="shared" si="5"/>
        <v>-4.4916808878677515E-2</v>
      </c>
    </row>
    <row r="388" spans="2:4" x14ac:dyDescent="0.35">
      <c r="B388" s="10">
        <v>45615</v>
      </c>
      <c r="C388" s="11">
        <v>51.09</v>
      </c>
      <c r="D388" s="43">
        <f t="shared" ref="D388:D451" si="6">IFERROR(LN(C387/C388),"")</f>
        <v>-2.4369705247294909E-2</v>
      </c>
    </row>
    <row r="389" spans="2:4" x14ac:dyDescent="0.35">
      <c r="B389" s="10">
        <v>45614</v>
      </c>
      <c r="C389" s="11">
        <v>51.94</v>
      </c>
      <c r="D389" s="43">
        <f t="shared" si="6"/>
        <v>-1.6500422891895676E-2</v>
      </c>
    </row>
    <row r="390" spans="2:4" x14ac:dyDescent="0.35">
      <c r="B390" s="10">
        <v>45611</v>
      </c>
      <c r="C390" s="11">
        <v>50.22</v>
      </c>
      <c r="D390" s="43">
        <f t="shared" si="6"/>
        <v>3.367585250516348E-2</v>
      </c>
    </row>
    <row r="391" spans="2:4" x14ac:dyDescent="0.35">
      <c r="B391" s="10">
        <v>45610</v>
      </c>
      <c r="C391" s="11">
        <v>54.7</v>
      </c>
      <c r="D391" s="43">
        <f t="shared" si="6"/>
        <v>-8.5450355698496641E-2</v>
      </c>
    </row>
    <row r="392" spans="2:4" x14ac:dyDescent="0.35">
      <c r="B392" s="10">
        <v>45609</v>
      </c>
      <c r="C392" s="11">
        <v>55.96</v>
      </c>
      <c r="D392" s="43">
        <f t="shared" si="6"/>
        <v>-2.2773440369344818E-2</v>
      </c>
    </row>
    <row r="393" spans="2:4" x14ac:dyDescent="0.35">
      <c r="B393" s="10">
        <v>45608</v>
      </c>
      <c r="C393" s="11">
        <v>56.19</v>
      </c>
      <c r="D393" s="43">
        <f t="shared" si="6"/>
        <v>-4.1016553268263829E-3</v>
      </c>
    </row>
    <row r="394" spans="2:4" x14ac:dyDescent="0.35">
      <c r="B394" s="10">
        <v>45607</v>
      </c>
      <c r="C394" s="11">
        <v>58.62</v>
      </c>
      <c r="D394" s="43">
        <f t="shared" si="6"/>
        <v>-4.2337130158639484E-2</v>
      </c>
    </row>
    <row r="395" spans="2:4" x14ac:dyDescent="0.35">
      <c r="B395" s="10">
        <v>45604</v>
      </c>
      <c r="C395" s="11">
        <v>57.98</v>
      </c>
      <c r="D395" s="43">
        <f t="shared" si="6"/>
        <v>1.0977811789237036E-2</v>
      </c>
    </row>
    <row r="396" spans="2:4" x14ac:dyDescent="0.35">
      <c r="B396" s="10">
        <v>45603</v>
      </c>
      <c r="C396" s="11">
        <v>55.84</v>
      </c>
      <c r="D396" s="43">
        <f t="shared" si="6"/>
        <v>3.76076650393923E-2</v>
      </c>
    </row>
    <row r="397" spans="2:4" x14ac:dyDescent="0.35">
      <c r="B397" s="10">
        <v>45602</v>
      </c>
      <c r="C397" s="11">
        <v>55.5</v>
      </c>
      <c r="D397" s="43">
        <f t="shared" si="6"/>
        <v>6.1074377017283649E-3</v>
      </c>
    </row>
    <row r="398" spans="2:4" x14ac:dyDescent="0.35">
      <c r="B398" s="10">
        <v>45601</v>
      </c>
      <c r="C398" s="11">
        <v>52.52</v>
      </c>
      <c r="D398" s="43">
        <f t="shared" si="6"/>
        <v>5.5188971317793337E-2</v>
      </c>
    </row>
    <row r="399" spans="2:4" x14ac:dyDescent="0.35">
      <c r="B399" s="10">
        <v>45600</v>
      </c>
      <c r="C399" s="11">
        <v>51.48</v>
      </c>
      <c r="D399" s="43">
        <f t="shared" si="6"/>
        <v>2.000066670666965E-2</v>
      </c>
    </row>
    <row r="400" spans="2:4" x14ac:dyDescent="0.35">
      <c r="B400" s="10">
        <v>45597</v>
      </c>
      <c r="C400" s="11">
        <v>51.82</v>
      </c>
      <c r="D400" s="43">
        <f t="shared" si="6"/>
        <v>-6.5827924060380249E-3</v>
      </c>
    </row>
    <row r="401" spans="2:4" x14ac:dyDescent="0.35">
      <c r="B401" s="10">
        <v>45596</v>
      </c>
      <c r="C401" s="11">
        <v>51</v>
      </c>
      <c r="D401" s="43">
        <f t="shared" si="6"/>
        <v>1.5950542409638172E-2</v>
      </c>
    </row>
    <row r="402" spans="2:4" x14ac:dyDescent="0.35">
      <c r="B402" s="10">
        <v>45595</v>
      </c>
      <c r="C402" s="11">
        <v>51.31</v>
      </c>
      <c r="D402" s="43">
        <f t="shared" si="6"/>
        <v>-6.0600322295476777E-3</v>
      </c>
    </row>
    <row r="403" spans="2:4" x14ac:dyDescent="0.35">
      <c r="B403" s="10">
        <v>45594</v>
      </c>
      <c r="C403" s="11">
        <v>51.51</v>
      </c>
      <c r="D403" s="43">
        <f t="shared" si="6"/>
        <v>-3.8902986236203935E-3</v>
      </c>
    </row>
    <row r="404" spans="2:4" x14ac:dyDescent="0.35">
      <c r="B404" s="10">
        <v>45593</v>
      </c>
      <c r="C404" s="11">
        <v>52.26</v>
      </c>
      <c r="D404" s="43">
        <f t="shared" si="6"/>
        <v>-1.4455296514972573E-2</v>
      </c>
    </row>
    <row r="405" spans="2:4" x14ac:dyDescent="0.35">
      <c r="B405" s="10">
        <v>45590</v>
      </c>
      <c r="C405" s="11">
        <v>51.32</v>
      </c>
      <c r="D405" s="43">
        <f t="shared" si="6"/>
        <v>1.8150720345030749E-2</v>
      </c>
    </row>
    <row r="406" spans="2:4" x14ac:dyDescent="0.35">
      <c r="B406" s="10">
        <v>45589</v>
      </c>
      <c r="C406" s="11">
        <v>52.4</v>
      </c>
      <c r="D406" s="43">
        <f t="shared" si="6"/>
        <v>-2.0826051579560734E-2</v>
      </c>
    </row>
    <row r="407" spans="2:4" x14ac:dyDescent="0.35">
      <c r="B407" s="10">
        <v>45588</v>
      </c>
      <c r="C407" s="11">
        <v>53.04</v>
      </c>
      <c r="D407" s="43">
        <f t="shared" si="6"/>
        <v>-1.2139754550610546E-2</v>
      </c>
    </row>
    <row r="408" spans="2:4" x14ac:dyDescent="0.35">
      <c r="B408" s="10">
        <v>45587</v>
      </c>
      <c r="C408" s="11">
        <v>54.94</v>
      </c>
      <c r="D408" s="43">
        <f t="shared" si="6"/>
        <v>-3.5195334789520701E-2</v>
      </c>
    </row>
    <row r="409" spans="2:4" x14ac:dyDescent="0.35">
      <c r="B409" s="10">
        <v>45586</v>
      </c>
      <c r="C409" s="11">
        <v>53.81</v>
      </c>
      <c r="D409" s="43">
        <f t="shared" si="6"/>
        <v>2.0782357165799341E-2</v>
      </c>
    </row>
    <row r="410" spans="2:4" x14ac:dyDescent="0.35">
      <c r="B410" s="10">
        <v>45583</v>
      </c>
      <c r="C410" s="11">
        <v>54.97</v>
      </c>
      <c r="D410" s="43">
        <f t="shared" si="6"/>
        <v>-2.1328258371240645E-2</v>
      </c>
    </row>
    <row r="411" spans="2:4" x14ac:dyDescent="0.35">
      <c r="B411" s="10">
        <v>45582</v>
      </c>
      <c r="C411" s="11">
        <v>54.53</v>
      </c>
      <c r="D411" s="43">
        <f t="shared" si="6"/>
        <v>8.036572934598734E-3</v>
      </c>
    </row>
    <row r="412" spans="2:4" x14ac:dyDescent="0.35">
      <c r="B412" s="10">
        <v>45581</v>
      </c>
      <c r="C412" s="11">
        <v>55.28</v>
      </c>
      <c r="D412" s="43">
        <f t="shared" si="6"/>
        <v>-1.3660170521444283E-2</v>
      </c>
    </row>
    <row r="413" spans="2:4" x14ac:dyDescent="0.35">
      <c r="B413" s="10">
        <v>45580</v>
      </c>
      <c r="C413" s="11">
        <v>55.38</v>
      </c>
      <c r="D413" s="43">
        <f t="shared" si="6"/>
        <v>-1.8073382834013082E-3</v>
      </c>
    </row>
    <row r="414" spans="2:4" x14ac:dyDescent="0.35">
      <c r="B414" s="10">
        <v>45579</v>
      </c>
      <c r="C414" s="11">
        <v>54.5</v>
      </c>
      <c r="D414" s="43">
        <f t="shared" si="6"/>
        <v>1.6017816073617488E-2</v>
      </c>
    </row>
    <row r="415" spans="2:4" x14ac:dyDescent="0.35">
      <c r="B415" s="10">
        <v>45576</v>
      </c>
      <c r="C415" s="11">
        <v>54.88</v>
      </c>
      <c r="D415" s="43">
        <f t="shared" si="6"/>
        <v>-6.948281748431406E-3</v>
      </c>
    </row>
    <row r="416" spans="2:4" x14ac:dyDescent="0.35">
      <c r="B416" s="10">
        <v>45575</v>
      </c>
      <c r="C416" s="11">
        <v>53.15</v>
      </c>
      <c r="D416" s="43">
        <f t="shared" si="6"/>
        <v>3.2030878629672986E-2</v>
      </c>
    </row>
    <row r="417" spans="2:4" x14ac:dyDescent="0.35">
      <c r="B417" s="10">
        <v>45574</v>
      </c>
      <c r="C417" s="11">
        <v>54.4</v>
      </c>
      <c r="D417" s="43">
        <f t="shared" si="6"/>
        <v>-2.324604907393998E-2</v>
      </c>
    </row>
    <row r="418" spans="2:4" x14ac:dyDescent="0.35">
      <c r="B418" s="10">
        <v>45573</v>
      </c>
      <c r="C418" s="11">
        <v>54.33</v>
      </c>
      <c r="D418" s="43">
        <f t="shared" si="6"/>
        <v>1.2875932984653285E-3</v>
      </c>
    </row>
    <row r="419" spans="2:4" x14ac:dyDescent="0.35">
      <c r="B419" s="10">
        <v>45572</v>
      </c>
      <c r="C419" s="11">
        <v>55.47</v>
      </c>
      <c r="D419" s="43">
        <f t="shared" si="6"/>
        <v>-2.0765773503711511E-2</v>
      </c>
    </row>
    <row r="420" spans="2:4" x14ac:dyDescent="0.35">
      <c r="B420" s="10">
        <v>45569</v>
      </c>
      <c r="C420" s="11">
        <v>56.68</v>
      </c>
      <c r="D420" s="43">
        <f t="shared" si="6"/>
        <v>-2.1579080755336506E-2</v>
      </c>
    </row>
    <row r="421" spans="2:4" x14ac:dyDescent="0.35">
      <c r="B421" s="10">
        <v>45568</v>
      </c>
      <c r="C421" s="11">
        <v>55.71</v>
      </c>
      <c r="D421" s="43">
        <f t="shared" si="6"/>
        <v>1.7261750789755472E-2</v>
      </c>
    </row>
    <row r="422" spans="2:4" x14ac:dyDescent="0.35">
      <c r="B422" s="10">
        <v>45567</v>
      </c>
      <c r="C422" s="11">
        <v>52.61</v>
      </c>
      <c r="D422" s="43">
        <f t="shared" si="6"/>
        <v>5.7253448290008377E-2</v>
      </c>
    </row>
    <row r="423" spans="2:4" x14ac:dyDescent="0.35">
      <c r="B423" s="10">
        <v>45566</v>
      </c>
      <c r="C423" s="11">
        <v>52.6</v>
      </c>
      <c r="D423" s="43">
        <f t="shared" si="6"/>
        <v>1.9009599905166715E-4</v>
      </c>
    </row>
    <row r="424" spans="2:4" x14ac:dyDescent="0.35">
      <c r="B424" s="10">
        <v>45565</v>
      </c>
      <c r="C424" s="11">
        <v>52.8</v>
      </c>
      <c r="D424" s="43">
        <f t="shared" si="6"/>
        <v>-3.7950709685514979E-3</v>
      </c>
    </row>
    <row r="425" spans="2:4" x14ac:dyDescent="0.35">
      <c r="B425" s="10">
        <v>45562</v>
      </c>
      <c r="C425" s="11">
        <v>52.34</v>
      </c>
      <c r="D425" s="43">
        <f t="shared" si="6"/>
        <v>8.7502936102157834E-3</v>
      </c>
    </row>
    <row r="426" spans="2:4" x14ac:dyDescent="0.35">
      <c r="B426" s="10">
        <v>45561</v>
      </c>
      <c r="C426" s="11">
        <v>52.63</v>
      </c>
      <c r="D426" s="43">
        <f t="shared" si="6"/>
        <v>-5.5254022636878246E-3</v>
      </c>
    </row>
    <row r="427" spans="2:4" x14ac:dyDescent="0.35">
      <c r="B427" s="10">
        <v>45560</v>
      </c>
      <c r="C427" s="11">
        <v>52.68</v>
      </c>
      <c r="D427" s="43">
        <f t="shared" si="6"/>
        <v>-9.4957750939269009E-4</v>
      </c>
    </row>
    <row r="428" spans="2:4" x14ac:dyDescent="0.35">
      <c r="B428" s="10">
        <v>45559</v>
      </c>
      <c r="C428" s="11">
        <v>52.66</v>
      </c>
      <c r="D428" s="43">
        <f t="shared" si="6"/>
        <v>3.7972280691699604E-4</v>
      </c>
    </row>
    <row r="429" spans="2:4" x14ac:dyDescent="0.35">
      <c r="B429" s="10">
        <v>45558</v>
      </c>
      <c r="C429" s="11">
        <v>52.09</v>
      </c>
      <c r="D429" s="43">
        <f t="shared" si="6"/>
        <v>1.0883162311062991E-2</v>
      </c>
    </row>
    <row r="430" spans="2:4" x14ac:dyDescent="0.35">
      <c r="B430" s="10">
        <v>45555</v>
      </c>
      <c r="C430" s="11">
        <v>53.77</v>
      </c>
      <c r="D430" s="43">
        <f t="shared" si="6"/>
        <v>-3.1742699064486561E-2</v>
      </c>
    </row>
    <row r="431" spans="2:4" x14ac:dyDescent="0.35">
      <c r="B431" s="10">
        <v>45554</v>
      </c>
      <c r="C431" s="11">
        <v>55.6</v>
      </c>
      <c r="D431" s="43">
        <f t="shared" si="6"/>
        <v>-3.3467510434949901E-2</v>
      </c>
    </row>
    <row r="432" spans="2:4" x14ac:dyDescent="0.35">
      <c r="B432" s="10">
        <v>45553</v>
      </c>
      <c r="C432" s="11">
        <v>55.94</v>
      </c>
      <c r="D432" s="43">
        <f t="shared" si="6"/>
        <v>-6.0964865172769105E-3</v>
      </c>
    </row>
    <row r="433" spans="2:4" x14ac:dyDescent="0.35">
      <c r="B433" s="10">
        <v>45552</v>
      </c>
      <c r="C433" s="11">
        <v>56.16</v>
      </c>
      <c r="D433" s="43">
        <f t="shared" si="6"/>
        <v>-3.9250719437419618E-3</v>
      </c>
    </row>
    <row r="434" spans="2:4" x14ac:dyDescent="0.35">
      <c r="B434" s="10">
        <v>45551</v>
      </c>
      <c r="C434" s="11">
        <v>56.75</v>
      </c>
      <c r="D434" s="43">
        <f t="shared" si="6"/>
        <v>-1.045089664395644E-2</v>
      </c>
    </row>
    <row r="435" spans="2:4" x14ac:dyDescent="0.35">
      <c r="B435" s="10">
        <v>45548</v>
      </c>
      <c r="C435" s="11">
        <v>55.88</v>
      </c>
      <c r="D435" s="43">
        <f t="shared" si="6"/>
        <v>1.5449121972750921E-2</v>
      </c>
    </row>
    <row r="436" spans="2:4" x14ac:dyDescent="0.35">
      <c r="B436" s="10">
        <v>45547</v>
      </c>
      <c r="C436" s="11">
        <v>54.06</v>
      </c>
      <c r="D436" s="43">
        <f t="shared" si="6"/>
        <v>3.3111993540459538E-2</v>
      </c>
    </row>
    <row r="437" spans="2:4" x14ac:dyDescent="0.35">
      <c r="B437" s="10">
        <v>45546</v>
      </c>
      <c r="C437" s="11">
        <v>53.77</v>
      </c>
      <c r="D437" s="43">
        <f t="shared" si="6"/>
        <v>5.3788500267148102E-3</v>
      </c>
    </row>
    <row r="438" spans="2:4" x14ac:dyDescent="0.35">
      <c r="B438" s="10">
        <v>45545</v>
      </c>
      <c r="C438" s="11">
        <v>54.15</v>
      </c>
      <c r="D438" s="43">
        <f t="shared" si="6"/>
        <v>-7.0422826254128114E-3</v>
      </c>
    </row>
    <row r="439" spans="2:4" x14ac:dyDescent="0.35">
      <c r="B439" s="10">
        <v>45544</v>
      </c>
      <c r="C439" s="11">
        <v>55.83</v>
      </c>
      <c r="D439" s="43">
        <f t="shared" si="6"/>
        <v>-3.0553385875269484E-2</v>
      </c>
    </row>
    <row r="440" spans="2:4" x14ac:dyDescent="0.35">
      <c r="B440" s="10">
        <v>45541</v>
      </c>
      <c r="C440" s="11">
        <v>54.09</v>
      </c>
      <c r="D440" s="43">
        <f t="shared" si="6"/>
        <v>3.1662033438933458E-2</v>
      </c>
    </row>
    <row r="441" spans="2:4" x14ac:dyDescent="0.35">
      <c r="B441" s="10">
        <v>45540</v>
      </c>
      <c r="C441" s="11">
        <v>55.93</v>
      </c>
      <c r="D441" s="43">
        <f t="shared" si="6"/>
        <v>-3.3451582950160944E-2</v>
      </c>
    </row>
    <row r="442" spans="2:4" x14ac:dyDescent="0.35">
      <c r="B442" s="10">
        <v>45539</v>
      </c>
      <c r="C442" s="11">
        <v>54.89</v>
      </c>
      <c r="D442" s="43">
        <f t="shared" si="6"/>
        <v>1.8769726271698761E-2</v>
      </c>
    </row>
    <row r="443" spans="2:4" x14ac:dyDescent="0.35">
      <c r="B443" s="10">
        <v>45538</v>
      </c>
      <c r="C443" s="11">
        <v>54.56</v>
      </c>
      <c r="D443" s="43">
        <f t="shared" si="6"/>
        <v>6.0301690265912311E-3</v>
      </c>
    </row>
    <row r="444" spans="2:4" x14ac:dyDescent="0.35">
      <c r="B444" s="10">
        <v>45534</v>
      </c>
      <c r="C444" s="11">
        <v>57.08</v>
      </c>
      <c r="D444" s="43">
        <f t="shared" si="6"/>
        <v>-4.5152779073428968E-2</v>
      </c>
    </row>
    <row r="445" spans="2:4" x14ac:dyDescent="0.35">
      <c r="B445" s="10">
        <v>45533</v>
      </c>
      <c r="C445" s="11">
        <v>57.39</v>
      </c>
      <c r="D445" s="43">
        <f t="shared" si="6"/>
        <v>-5.416279511635624E-3</v>
      </c>
    </row>
    <row r="446" spans="2:4" x14ac:dyDescent="0.35">
      <c r="B446" s="10">
        <v>45532</v>
      </c>
      <c r="C446" s="11">
        <v>55.53</v>
      </c>
      <c r="D446" s="43">
        <f t="shared" si="6"/>
        <v>3.294665686675545E-2</v>
      </c>
    </row>
    <row r="447" spans="2:4" x14ac:dyDescent="0.35">
      <c r="B447" s="10">
        <v>45531</v>
      </c>
      <c r="C447" s="11">
        <v>55.85</v>
      </c>
      <c r="D447" s="43">
        <f t="shared" si="6"/>
        <v>-5.7461102616938684E-3</v>
      </c>
    </row>
    <row r="448" spans="2:4" x14ac:dyDescent="0.35">
      <c r="B448" s="10">
        <v>45530</v>
      </c>
      <c r="C448" s="11">
        <v>57.07</v>
      </c>
      <c r="D448" s="43">
        <f t="shared" si="6"/>
        <v>-2.1609059033406937E-2</v>
      </c>
    </row>
    <row r="449" spans="2:4" x14ac:dyDescent="0.35">
      <c r="B449" s="10">
        <v>45527</v>
      </c>
      <c r="C449" s="11">
        <v>57.32</v>
      </c>
      <c r="D449" s="43">
        <f t="shared" si="6"/>
        <v>-4.3710184113543646E-3</v>
      </c>
    </row>
    <row r="450" spans="2:4" x14ac:dyDescent="0.35">
      <c r="B450" s="10">
        <v>45526</v>
      </c>
      <c r="C450" s="11">
        <v>56.25</v>
      </c>
      <c r="D450" s="43">
        <f t="shared" si="6"/>
        <v>1.8843561875441638E-2</v>
      </c>
    </row>
    <row r="451" spans="2:4" x14ac:dyDescent="0.35">
      <c r="B451" s="10">
        <v>45525</v>
      </c>
      <c r="C451" s="11">
        <v>56.58</v>
      </c>
      <c r="D451" s="43">
        <f t="shared" si="6"/>
        <v>-5.8495247888916049E-3</v>
      </c>
    </row>
    <row r="452" spans="2:4" x14ac:dyDescent="0.35">
      <c r="B452" s="10">
        <v>45524</v>
      </c>
      <c r="C452" s="11">
        <v>56.85</v>
      </c>
      <c r="D452" s="43">
        <f t="shared" ref="D452:D515" si="7">IFERROR(LN(C451/C452),"")</f>
        <v>-4.760654323124008E-3</v>
      </c>
    </row>
    <row r="453" spans="2:4" x14ac:dyDescent="0.35">
      <c r="B453" s="10">
        <v>45523</v>
      </c>
      <c r="C453" s="11">
        <v>56.46</v>
      </c>
      <c r="D453" s="43">
        <f t="shared" si="7"/>
        <v>6.8837973712018692E-3</v>
      </c>
    </row>
    <row r="454" spans="2:4" x14ac:dyDescent="0.35">
      <c r="B454" s="10">
        <v>45520</v>
      </c>
      <c r="C454" s="11">
        <v>56.5</v>
      </c>
      <c r="D454" s="43">
        <f t="shared" si="7"/>
        <v>-7.0821532705199713E-4</v>
      </c>
    </row>
    <row r="455" spans="2:4" x14ac:dyDescent="0.35">
      <c r="B455" s="10">
        <v>45519</v>
      </c>
      <c r="C455" s="11">
        <v>57.06</v>
      </c>
      <c r="D455" s="43">
        <f t="shared" si="7"/>
        <v>-9.8627076329587671E-3</v>
      </c>
    </row>
    <row r="456" spans="2:4" x14ac:dyDescent="0.35">
      <c r="B456" s="10">
        <v>45518</v>
      </c>
      <c r="C456" s="11">
        <v>55.88</v>
      </c>
      <c r="D456" s="43">
        <f t="shared" si="7"/>
        <v>2.0896811396592933E-2</v>
      </c>
    </row>
    <row r="457" spans="2:4" x14ac:dyDescent="0.35">
      <c r="B457" s="10">
        <v>45517</v>
      </c>
      <c r="C457" s="11">
        <v>56.07</v>
      </c>
      <c r="D457" s="43">
        <f t="shared" si="7"/>
        <v>-3.3943757468200032E-3</v>
      </c>
    </row>
    <row r="458" spans="2:4" x14ac:dyDescent="0.35">
      <c r="B458" s="10">
        <v>45516</v>
      </c>
      <c r="C458" s="11">
        <v>56.18</v>
      </c>
      <c r="D458" s="43">
        <f t="shared" si="7"/>
        <v>-1.9599115405163985E-3</v>
      </c>
    </row>
    <row r="459" spans="2:4" x14ac:dyDescent="0.35">
      <c r="B459" s="10">
        <v>45513</v>
      </c>
      <c r="C459" s="11">
        <v>55.79</v>
      </c>
      <c r="D459" s="43">
        <f t="shared" si="7"/>
        <v>6.9661798186606023E-3</v>
      </c>
    </row>
    <row r="460" spans="2:4" x14ac:dyDescent="0.35">
      <c r="B460" s="10">
        <v>45512</v>
      </c>
      <c r="C460" s="11">
        <v>54</v>
      </c>
      <c r="D460" s="43">
        <f t="shared" si="7"/>
        <v>3.2610595293162591E-2</v>
      </c>
    </row>
    <row r="461" spans="2:4" x14ac:dyDescent="0.35">
      <c r="B461" s="10">
        <v>45511</v>
      </c>
      <c r="C461" s="11">
        <v>51.22</v>
      </c>
      <c r="D461" s="43">
        <f t="shared" si="7"/>
        <v>5.2853965792895148E-2</v>
      </c>
    </row>
    <row r="462" spans="2:4" x14ac:dyDescent="0.35">
      <c r="B462" s="10">
        <v>45510</v>
      </c>
      <c r="C462" s="11">
        <v>53.54</v>
      </c>
      <c r="D462" s="43">
        <f t="shared" si="7"/>
        <v>-4.4298957320827309E-2</v>
      </c>
    </row>
    <row r="463" spans="2:4" x14ac:dyDescent="0.35">
      <c r="B463" s="10">
        <v>45509</v>
      </c>
      <c r="C463" s="11">
        <v>53.43</v>
      </c>
      <c r="D463" s="43">
        <f t="shared" si="7"/>
        <v>2.0566521225263783E-3</v>
      </c>
    </row>
    <row r="464" spans="2:4" x14ac:dyDescent="0.35">
      <c r="B464" s="10">
        <v>45506</v>
      </c>
      <c r="C464" s="11">
        <v>57.14</v>
      </c>
      <c r="D464" s="43">
        <f t="shared" si="7"/>
        <v>-6.7132010832947064E-2</v>
      </c>
    </row>
    <row r="465" spans="2:4" x14ac:dyDescent="0.35">
      <c r="B465" s="10">
        <v>45505</v>
      </c>
      <c r="C465" s="11">
        <v>57.91</v>
      </c>
      <c r="D465" s="43">
        <f t="shared" si="7"/>
        <v>-1.3385684435071305E-2</v>
      </c>
    </row>
    <row r="466" spans="2:4" x14ac:dyDescent="0.35">
      <c r="B466" s="10">
        <v>45504</v>
      </c>
      <c r="C466" s="11">
        <v>59.01</v>
      </c>
      <c r="D466" s="43">
        <f t="shared" si="7"/>
        <v>-1.8816839831378933E-2</v>
      </c>
    </row>
    <row r="467" spans="2:4" x14ac:dyDescent="0.35">
      <c r="B467" s="10">
        <v>45503</v>
      </c>
      <c r="C467" s="11">
        <v>60.16</v>
      </c>
      <c r="D467" s="43">
        <f t="shared" si="7"/>
        <v>-1.9300758572506939E-2</v>
      </c>
    </row>
    <row r="468" spans="2:4" x14ac:dyDescent="0.35">
      <c r="B468" s="10">
        <v>45502</v>
      </c>
      <c r="C468" s="11">
        <v>59.09</v>
      </c>
      <c r="D468" s="43">
        <f t="shared" si="7"/>
        <v>1.7945974284000958E-2</v>
      </c>
    </row>
    <row r="469" spans="2:4" x14ac:dyDescent="0.35">
      <c r="B469" s="10">
        <v>45499</v>
      </c>
      <c r="C469" s="11">
        <v>59.69</v>
      </c>
      <c r="D469" s="43">
        <f t="shared" si="7"/>
        <v>-1.0102796822975159E-2</v>
      </c>
    </row>
    <row r="470" spans="2:4" x14ac:dyDescent="0.35">
      <c r="B470" s="10">
        <v>45498</v>
      </c>
      <c r="C470" s="11">
        <v>58.5</v>
      </c>
      <c r="D470" s="43">
        <f t="shared" si="7"/>
        <v>2.0137747942747568E-2</v>
      </c>
    </row>
    <row r="471" spans="2:4" x14ac:dyDescent="0.35">
      <c r="B471" s="10">
        <v>45497</v>
      </c>
      <c r="C471" s="11">
        <v>56.8</v>
      </c>
      <c r="D471" s="43">
        <f t="shared" si="7"/>
        <v>2.9490428510705158E-2</v>
      </c>
    </row>
    <row r="472" spans="2:4" x14ac:dyDescent="0.35">
      <c r="B472" s="10">
        <v>45496</v>
      </c>
      <c r="C472" s="11">
        <v>57.38</v>
      </c>
      <c r="D472" s="43">
        <f t="shared" si="7"/>
        <v>-1.0159484826113169E-2</v>
      </c>
    </row>
    <row r="473" spans="2:4" x14ac:dyDescent="0.35">
      <c r="B473" s="10">
        <v>45495</v>
      </c>
      <c r="C473" s="11">
        <v>57.42</v>
      </c>
      <c r="D473" s="43">
        <f t="shared" si="7"/>
        <v>-6.9686413969918121E-4</v>
      </c>
    </row>
    <row r="474" spans="2:4" x14ac:dyDescent="0.35">
      <c r="B474" s="10">
        <v>45492</v>
      </c>
      <c r="C474" s="11">
        <v>56.41</v>
      </c>
      <c r="D474" s="43">
        <f t="shared" si="7"/>
        <v>1.7746226941033161E-2</v>
      </c>
    </row>
    <row r="475" spans="2:4" x14ac:dyDescent="0.35">
      <c r="B475" s="10">
        <v>45491</v>
      </c>
      <c r="C475" s="11">
        <v>55.91</v>
      </c>
      <c r="D475" s="43">
        <f t="shared" si="7"/>
        <v>8.9031927133307771E-3</v>
      </c>
    </row>
    <row r="476" spans="2:4" x14ac:dyDescent="0.35">
      <c r="B476" s="10">
        <v>45490</v>
      </c>
      <c r="C476" s="11">
        <v>56.79</v>
      </c>
      <c r="D476" s="43">
        <f t="shared" si="7"/>
        <v>-1.561699885078726E-2</v>
      </c>
    </row>
    <row r="477" spans="2:4" x14ac:dyDescent="0.35">
      <c r="B477" s="10">
        <v>45489</v>
      </c>
      <c r="C477" s="11">
        <v>56.76</v>
      </c>
      <c r="D477" s="43">
        <f t="shared" si="7"/>
        <v>5.2840159749932374E-4</v>
      </c>
    </row>
    <row r="478" spans="2:4" x14ac:dyDescent="0.35">
      <c r="B478" s="10">
        <v>45488</v>
      </c>
      <c r="C478" s="11">
        <v>57.39</v>
      </c>
      <c r="D478" s="43">
        <f t="shared" si="7"/>
        <v>-1.1038219828429294E-2</v>
      </c>
    </row>
    <row r="479" spans="2:4" x14ac:dyDescent="0.35">
      <c r="B479" s="10">
        <v>45485</v>
      </c>
      <c r="C479" s="11">
        <v>55.98</v>
      </c>
      <c r="D479" s="43">
        <f t="shared" si="7"/>
        <v>2.4875588032963893E-2</v>
      </c>
    </row>
    <row r="480" spans="2:4" x14ac:dyDescent="0.35">
      <c r="B480" s="10">
        <v>45484</v>
      </c>
      <c r="C480" s="11">
        <v>56.3</v>
      </c>
      <c r="D480" s="43">
        <f t="shared" si="7"/>
        <v>-5.7000510583372598E-3</v>
      </c>
    </row>
    <row r="481" spans="2:4" x14ac:dyDescent="0.35">
      <c r="B481" s="10">
        <v>45483</v>
      </c>
      <c r="C481" s="11">
        <v>54.93</v>
      </c>
      <c r="D481" s="43">
        <f t="shared" si="7"/>
        <v>2.4634887791115643E-2</v>
      </c>
    </row>
    <row r="482" spans="2:4" x14ac:dyDescent="0.35">
      <c r="B482" s="10">
        <v>45482</v>
      </c>
      <c r="C482" s="11">
        <v>54.86</v>
      </c>
      <c r="D482" s="43">
        <f t="shared" si="7"/>
        <v>1.2751618450718876E-3</v>
      </c>
    </row>
    <row r="483" spans="2:4" x14ac:dyDescent="0.35">
      <c r="B483" s="10">
        <v>45481</v>
      </c>
      <c r="C483" s="11">
        <v>56.67</v>
      </c>
      <c r="D483" s="43">
        <f t="shared" si="7"/>
        <v>-3.2460484672070772E-2</v>
      </c>
    </row>
    <row r="484" spans="2:4" x14ac:dyDescent="0.35">
      <c r="B484" s="10">
        <v>45478</v>
      </c>
      <c r="C484" s="11">
        <v>55.51</v>
      </c>
      <c r="D484" s="43">
        <f t="shared" si="7"/>
        <v>2.0681785479458127E-2</v>
      </c>
    </row>
    <row r="485" spans="2:4" x14ac:dyDescent="0.35">
      <c r="B485" s="10">
        <v>45476</v>
      </c>
      <c r="C485" s="11">
        <v>54.4</v>
      </c>
      <c r="D485" s="43">
        <f t="shared" si="7"/>
        <v>2.019903084017307E-2</v>
      </c>
    </row>
    <row r="486" spans="2:4" x14ac:dyDescent="0.35">
      <c r="B486" s="10">
        <v>45475</v>
      </c>
      <c r="C486" s="11">
        <v>54.84</v>
      </c>
      <c r="D486" s="43">
        <f t="shared" si="7"/>
        <v>-8.0557008322168378E-3</v>
      </c>
    </row>
    <row r="487" spans="2:4" x14ac:dyDescent="0.35">
      <c r="B487" s="10">
        <v>45474</v>
      </c>
      <c r="C487" s="11">
        <v>54.7</v>
      </c>
      <c r="D487" s="43">
        <f t="shared" si="7"/>
        <v>2.5561452661780979E-3</v>
      </c>
    </row>
    <row r="488" spans="2:4" x14ac:dyDescent="0.35">
      <c r="B488" s="10">
        <v>45471</v>
      </c>
      <c r="C488" s="11">
        <v>54.18</v>
      </c>
      <c r="D488" s="43">
        <f t="shared" si="7"/>
        <v>9.5518727709865067E-3</v>
      </c>
    </row>
    <row r="489" spans="2:4" x14ac:dyDescent="0.35">
      <c r="B489" s="10">
        <v>45470</v>
      </c>
      <c r="C489" s="11">
        <v>53.78</v>
      </c>
      <c r="D489" s="43">
        <f t="shared" si="7"/>
        <v>7.4101858162304484E-3</v>
      </c>
    </row>
    <row r="490" spans="2:4" x14ac:dyDescent="0.35">
      <c r="B490" s="10">
        <v>45469</v>
      </c>
      <c r="C490" s="11">
        <v>51.75</v>
      </c>
      <c r="D490" s="43">
        <f t="shared" si="7"/>
        <v>3.8477218695240206E-2</v>
      </c>
    </row>
    <row r="491" spans="2:4" x14ac:dyDescent="0.35">
      <c r="B491" s="10">
        <v>45468</v>
      </c>
      <c r="C491" s="11">
        <v>52.87</v>
      </c>
      <c r="D491" s="43">
        <f t="shared" si="7"/>
        <v>-2.1411638101880383E-2</v>
      </c>
    </row>
    <row r="492" spans="2:4" x14ac:dyDescent="0.35">
      <c r="B492" s="10">
        <v>45467</v>
      </c>
      <c r="C492" s="11">
        <v>53.9</v>
      </c>
      <c r="D492" s="43">
        <f t="shared" si="7"/>
        <v>-1.9294407667592588E-2</v>
      </c>
    </row>
    <row r="493" spans="2:4" x14ac:dyDescent="0.35">
      <c r="B493" s="10">
        <v>45464</v>
      </c>
      <c r="C493" s="11">
        <v>53.52</v>
      </c>
      <c r="D493" s="43">
        <f t="shared" si="7"/>
        <v>7.0750620949783889E-3</v>
      </c>
    </row>
    <row r="494" spans="2:4" x14ac:dyDescent="0.35">
      <c r="B494" s="10">
        <v>45463</v>
      </c>
      <c r="C494" s="11">
        <v>51.82</v>
      </c>
      <c r="D494" s="43">
        <f t="shared" si="7"/>
        <v>3.2279240686009111E-2</v>
      </c>
    </row>
    <row r="495" spans="2:4" x14ac:dyDescent="0.35">
      <c r="B495" s="10">
        <v>45461</v>
      </c>
      <c r="C495" s="11">
        <v>51.94</v>
      </c>
      <c r="D495" s="43">
        <f t="shared" si="7"/>
        <v>-2.3130311006384018E-3</v>
      </c>
    </row>
    <row r="496" spans="2:4" x14ac:dyDescent="0.35">
      <c r="B496" s="10">
        <v>45460</v>
      </c>
      <c r="C496" s="11">
        <v>52.78</v>
      </c>
      <c r="D496" s="43">
        <f t="shared" si="7"/>
        <v>-1.6043124840575691E-2</v>
      </c>
    </row>
    <row r="497" spans="2:4" x14ac:dyDescent="0.35">
      <c r="B497" s="10">
        <v>45457</v>
      </c>
      <c r="C497" s="11">
        <v>53.93</v>
      </c>
      <c r="D497" s="43">
        <f t="shared" si="7"/>
        <v>-2.1554578273957608E-2</v>
      </c>
    </row>
    <row r="498" spans="2:4" x14ac:dyDescent="0.35">
      <c r="B498" s="10">
        <v>45456</v>
      </c>
      <c r="C498" s="11">
        <v>52.71</v>
      </c>
      <c r="D498" s="43">
        <f t="shared" si="7"/>
        <v>2.2881718482020051E-2</v>
      </c>
    </row>
    <row r="499" spans="2:4" x14ac:dyDescent="0.35">
      <c r="B499" s="10">
        <v>45455</v>
      </c>
      <c r="C499" s="11">
        <v>54.04</v>
      </c>
      <c r="D499" s="43">
        <f t="shared" si="7"/>
        <v>-2.4919322224882568E-2</v>
      </c>
    </row>
    <row r="500" spans="2:4" x14ac:dyDescent="0.35">
      <c r="B500" s="10">
        <v>45454</v>
      </c>
      <c r="C500" s="11">
        <v>53.29</v>
      </c>
      <c r="D500" s="43">
        <f t="shared" si="7"/>
        <v>1.3975816783307319E-2</v>
      </c>
    </row>
    <row r="501" spans="2:4" x14ac:dyDescent="0.35">
      <c r="B501" s="10">
        <v>45453</v>
      </c>
      <c r="C501" s="11">
        <v>54.16</v>
      </c>
      <c r="D501" s="43">
        <f t="shared" si="7"/>
        <v>-1.6193932295328648E-2</v>
      </c>
    </row>
    <row r="502" spans="2:4" x14ac:dyDescent="0.35">
      <c r="B502" s="10">
        <v>45450</v>
      </c>
      <c r="C502" s="11">
        <v>52.79</v>
      </c>
      <c r="D502" s="43">
        <f t="shared" si="7"/>
        <v>2.5620849768494738E-2</v>
      </c>
    </row>
    <row r="503" spans="2:4" x14ac:dyDescent="0.35">
      <c r="B503" s="10">
        <v>45449</v>
      </c>
      <c r="C503" s="11">
        <v>52.28</v>
      </c>
      <c r="D503" s="43">
        <f t="shared" si="7"/>
        <v>9.7078900795036088E-3</v>
      </c>
    </row>
    <row r="504" spans="2:4" x14ac:dyDescent="0.35">
      <c r="B504" s="10">
        <v>45448</v>
      </c>
      <c r="C504" s="11">
        <v>54.58</v>
      </c>
      <c r="D504" s="43">
        <f t="shared" si="7"/>
        <v>-4.3053626524171135E-2</v>
      </c>
    </row>
    <row r="505" spans="2:4" x14ac:dyDescent="0.35">
      <c r="B505" s="10">
        <v>45447</v>
      </c>
      <c r="C505" s="11">
        <v>48.41</v>
      </c>
      <c r="D505" s="43">
        <f t="shared" si="7"/>
        <v>0.11996111132858953</v>
      </c>
    </row>
    <row r="506" spans="2:4" x14ac:dyDescent="0.35">
      <c r="B506" s="10">
        <v>45446</v>
      </c>
      <c r="C506" s="11">
        <v>49.87</v>
      </c>
      <c r="D506" s="43">
        <f t="shared" si="7"/>
        <v>-2.9713215606428183E-2</v>
      </c>
    </row>
    <row r="507" spans="2:4" x14ac:dyDescent="0.35">
      <c r="B507" s="10">
        <v>45443</v>
      </c>
      <c r="C507" s="11">
        <v>48.51</v>
      </c>
      <c r="D507" s="43">
        <f t="shared" si="7"/>
        <v>2.7649657300906051E-2</v>
      </c>
    </row>
    <row r="508" spans="2:4" x14ac:dyDescent="0.35">
      <c r="B508" s="10">
        <v>45442</v>
      </c>
      <c r="C508" s="11">
        <v>49.12</v>
      </c>
      <c r="D508" s="43">
        <f t="shared" si="7"/>
        <v>-1.2496321581761888E-2</v>
      </c>
    </row>
    <row r="509" spans="2:4" x14ac:dyDescent="0.35">
      <c r="B509" s="10">
        <v>45441</v>
      </c>
      <c r="C509" s="11">
        <v>47.86</v>
      </c>
      <c r="D509" s="43">
        <f t="shared" si="7"/>
        <v>2.598620135865962E-2</v>
      </c>
    </row>
    <row r="510" spans="2:4" x14ac:dyDescent="0.35">
      <c r="B510" s="10">
        <v>45440</v>
      </c>
      <c r="C510" s="11">
        <v>48.21</v>
      </c>
      <c r="D510" s="43">
        <f t="shared" si="7"/>
        <v>-7.2863859373036525E-3</v>
      </c>
    </row>
    <row r="511" spans="2:4" x14ac:dyDescent="0.35">
      <c r="B511" s="10">
        <v>45436</v>
      </c>
      <c r="C511" s="11">
        <v>48.3</v>
      </c>
      <c r="D511" s="43">
        <f t="shared" si="7"/>
        <v>-1.8650922409960192E-3</v>
      </c>
    </row>
    <row r="512" spans="2:4" x14ac:dyDescent="0.35">
      <c r="B512" s="10">
        <v>45435</v>
      </c>
      <c r="C512" s="11">
        <v>48.98</v>
      </c>
      <c r="D512" s="43">
        <f t="shared" si="7"/>
        <v>-1.3980490865494685E-2</v>
      </c>
    </row>
    <row r="513" spans="2:4" x14ac:dyDescent="0.35">
      <c r="B513" s="10">
        <v>45434</v>
      </c>
      <c r="C513" s="11">
        <v>59.23</v>
      </c>
      <c r="D513" s="43">
        <f t="shared" si="7"/>
        <v>-0.19001611876485208</v>
      </c>
    </row>
    <row r="514" spans="2:4" x14ac:dyDescent="0.35">
      <c r="B514" s="10">
        <v>45433</v>
      </c>
      <c r="C514" s="11">
        <v>60.14</v>
      </c>
      <c r="D514" s="43">
        <f t="shared" si="7"/>
        <v>-1.5247007271509246E-2</v>
      </c>
    </row>
    <row r="515" spans="2:4" x14ac:dyDescent="0.35">
      <c r="B515" s="10">
        <v>45432</v>
      </c>
      <c r="C515" s="11">
        <v>60.6</v>
      </c>
      <c r="D515" s="43">
        <f t="shared" si="7"/>
        <v>-7.6197155148857278E-3</v>
      </c>
    </row>
    <row r="516" spans="2:4" x14ac:dyDescent="0.35">
      <c r="B516" s="10">
        <v>45429</v>
      </c>
      <c r="C516" s="11">
        <v>59.53</v>
      </c>
      <c r="D516" s="43">
        <f t="shared" ref="D516:D579" si="8">IFERROR(LN(C515/C516),"")</f>
        <v>1.7814505909970042E-2</v>
      </c>
    </row>
    <row r="517" spans="2:4" x14ac:dyDescent="0.35">
      <c r="B517" s="10">
        <v>45428</v>
      </c>
      <c r="C517" s="11">
        <v>59.92</v>
      </c>
      <c r="D517" s="43">
        <f t="shared" si="8"/>
        <v>-6.5299520436653243E-3</v>
      </c>
    </row>
    <row r="518" spans="2:4" x14ac:dyDescent="0.35">
      <c r="B518" s="10">
        <v>45427</v>
      </c>
      <c r="C518" s="11">
        <v>60.5</v>
      </c>
      <c r="D518" s="43">
        <f t="shared" si="8"/>
        <v>-9.6330258278317614E-3</v>
      </c>
    </row>
    <row r="519" spans="2:4" x14ac:dyDescent="0.35">
      <c r="B519" s="10">
        <v>45426</v>
      </c>
      <c r="C519" s="11">
        <v>59.36</v>
      </c>
      <c r="D519" s="43">
        <f t="shared" si="8"/>
        <v>1.9022766177670784E-2</v>
      </c>
    </row>
    <row r="520" spans="2:4" x14ac:dyDescent="0.35">
      <c r="B520" s="10">
        <v>45425</v>
      </c>
      <c r="C520" s="11">
        <v>57.89</v>
      </c>
      <c r="D520" s="43">
        <f t="shared" si="8"/>
        <v>2.5075940768211794E-2</v>
      </c>
    </row>
    <row r="521" spans="2:4" x14ac:dyDescent="0.35">
      <c r="B521" s="10">
        <v>45422</v>
      </c>
      <c r="C521" s="11">
        <v>62.1</v>
      </c>
      <c r="D521" s="43">
        <f t="shared" si="8"/>
        <v>-7.0201330848519886E-2</v>
      </c>
    </row>
    <row r="522" spans="2:4" x14ac:dyDescent="0.35">
      <c r="B522" s="10">
        <v>45421</v>
      </c>
      <c r="C522" s="11">
        <v>64.02</v>
      </c>
      <c r="D522" s="43">
        <f t="shared" si="8"/>
        <v>-3.0449545602283818E-2</v>
      </c>
    </row>
    <row r="523" spans="2:4" x14ac:dyDescent="0.35">
      <c r="B523" s="10">
        <v>45420</v>
      </c>
      <c r="C523" s="11">
        <v>65.27</v>
      </c>
      <c r="D523" s="43">
        <f t="shared" si="8"/>
        <v>-1.933697810540903E-2</v>
      </c>
    </row>
    <row r="524" spans="2:4" x14ac:dyDescent="0.35">
      <c r="B524" s="10">
        <v>45419</v>
      </c>
      <c r="C524" s="11">
        <v>65.28</v>
      </c>
      <c r="D524" s="43">
        <f t="shared" si="8"/>
        <v>-1.5319800872559824E-4</v>
      </c>
    </row>
    <row r="525" spans="2:4" x14ac:dyDescent="0.35">
      <c r="B525" s="10">
        <v>45418</v>
      </c>
      <c r="C525" s="11">
        <v>65.05</v>
      </c>
      <c r="D525" s="43">
        <f t="shared" si="8"/>
        <v>3.5295056973373416E-3</v>
      </c>
    </row>
    <row r="526" spans="2:4" x14ac:dyDescent="0.35">
      <c r="B526" s="10">
        <v>45415</v>
      </c>
      <c r="C526" s="11">
        <v>65.27</v>
      </c>
      <c r="D526" s="43">
        <f t="shared" si="8"/>
        <v>-3.3763076886117712E-3</v>
      </c>
    </row>
    <row r="527" spans="2:4" x14ac:dyDescent="0.35">
      <c r="B527" s="10">
        <v>45414</v>
      </c>
      <c r="C527" s="11">
        <v>64.34</v>
      </c>
      <c r="D527" s="43">
        <f t="shared" si="8"/>
        <v>1.4350990836245556E-2</v>
      </c>
    </row>
    <row r="528" spans="2:4" x14ac:dyDescent="0.35">
      <c r="B528" s="10">
        <v>45413</v>
      </c>
      <c r="C528" s="11">
        <v>63.37</v>
      </c>
      <c r="D528" s="43">
        <f t="shared" si="8"/>
        <v>1.5190958475454755E-2</v>
      </c>
    </row>
    <row r="529" spans="2:4" x14ac:dyDescent="0.35">
      <c r="B529" s="10">
        <v>45412</v>
      </c>
      <c r="C529" s="11">
        <v>61.32</v>
      </c>
      <c r="D529" s="43">
        <f t="shared" si="8"/>
        <v>3.2884509331812237E-2</v>
      </c>
    </row>
    <row r="530" spans="2:4" x14ac:dyDescent="0.35">
      <c r="B530" s="10">
        <v>45411</v>
      </c>
      <c r="C530" s="11">
        <v>62.53</v>
      </c>
      <c r="D530" s="43">
        <f t="shared" si="8"/>
        <v>-1.954038757559317E-2</v>
      </c>
    </row>
    <row r="531" spans="2:4" x14ac:dyDescent="0.35">
      <c r="B531" s="10">
        <v>45408</v>
      </c>
      <c r="C531" s="11">
        <v>65.34</v>
      </c>
      <c r="D531" s="43">
        <f t="shared" si="8"/>
        <v>-4.3957964593717577E-2</v>
      </c>
    </row>
    <row r="532" spans="2:4" x14ac:dyDescent="0.35">
      <c r="B532" s="10">
        <v>45407</v>
      </c>
      <c r="C532" s="11">
        <v>64.8</v>
      </c>
      <c r="D532" s="43">
        <f t="shared" si="8"/>
        <v>8.2988028146952844E-3</v>
      </c>
    </row>
    <row r="533" spans="2:4" x14ac:dyDescent="0.35">
      <c r="B533" s="10">
        <v>45406</v>
      </c>
      <c r="C533" s="11">
        <v>66.819999999999993</v>
      </c>
      <c r="D533" s="43">
        <f t="shared" si="8"/>
        <v>-3.0696833570381356E-2</v>
      </c>
    </row>
    <row r="534" spans="2:4" x14ac:dyDescent="0.35">
      <c r="B534" s="10">
        <v>45405</v>
      </c>
      <c r="C534" s="11">
        <v>65.569999999999993</v>
      </c>
      <c r="D534" s="43">
        <f t="shared" si="8"/>
        <v>1.8884162653082515E-2</v>
      </c>
    </row>
    <row r="535" spans="2:4" x14ac:dyDescent="0.35">
      <c r="B535" s="10">
        <v>45404</v>
      </c>
      <c r="C535" s="11">
        <v>66.290000000000006</v>
      </c>
      <c r="D535" s="43">
        <f t="shared" si="8"/>
        <v>-1.09207819777723E-2</v>
      </c>
    </row>
    <row r="536" spans="2:4" x14ac:dyDescent="0.35">
      <c r="B536" s="10">
        <v>45401</v>
      </c>
      <c r="C536" s="11">
        <v>67.55</v>
      </c>
      <c r="D536" s="43">
        <f t="shared" si="8"/>
        <v>-1.8829008152907546E-2</v>
      </c>
    </row>
    <row r="537" spans="2:4" x14ac:dyDescent="0.35">
      <c r="B537" s="10">
        <v>45400</v>
      </c>
      <c r="C537" s="11">
        <v>67</v>
      </c>
      <c r="D537" s="43">
        <f t="shared" si="8"/>
        <v>8.1754450152418598E-3</v>
      </c>
    </row>
    <row r="538" spans="2:4" x14ac:dyDescent="0.35">
      <c r="B538" s="10">
        <v>45399</v>
      </c>
      <c r="C538" s="11">
        <v>67.930000000000007</v>
      </c>
      <c r="D538" s="43">
        <f t="shared" si="8"/>
        <v>-1.3785143812244547E-2</v>
      </c>
    </row>
    <row r="539" spans="2:4" x14ac:dyDescent="0.35">
      <c r="B539" s="10">
        <v>45398</v>
      </c>
      <c r="C539" s="11">
        <v>69</v>
      </c>
      <c r="D539" s="43">
        <f t="shared" si="8"/>
        <v>-1.562874139404867E-2</v>
      </c>
    </row>
    <row r="540" spans="2:4" x14ac:dyDescent="0.35">
      <c r="B540" s="10">
        <v>45397</v>
      </c>
      <c r="C540" s="11">
        <v>68</v>
      </c>
      <c r="D540" s="43">
        <f t="shared" si="8"/>
        <v>1.4598799421152631E-2</v>
      </c>
    </row>
    <row r="541" spans="2:4" x14ac:dyDescent="0.35">
      <c r="B541" s="10">
        <v>45394</v>
      </c>
      <c r="C541" s="11">
        <v>71.56</v>
      </c>
      <c r="D541" s="43">
        <f t="shared" si="8"/>
        <v>-5.1028553464411694E-2</v>
      </c>
    </row>
    <row r="542" spans="2:4" x14ac:dyDescent="0.35">
      <c r="B542" s="10">
        <v>45393</v>
      </c>
      <c r="C542" s="11">
        <v>73.19</v>
      </c>
      <c r="D542" s="43">
        <f t="shared" si="8"/>
        <v>-2.2522540972617331E-2</v>
      </c>
    </row>
    <row r="543" spans="2:4" x14ac:dyDescent="0.35">
      <c r="B543" s="10">
        <v>45392</v>
      </c>
      <c r="C543" s="11">
        <v>74.36</v>
      </c>
      <c r="D543" s="43">
        <f t="shared" si="8"/>
        <v>-1.5859363240107512E-2</v>
      </c>
    </row>
    <row r="544" spans="2:4" x14ac:dyDescent="0.35">
      <c r="B544" s="10">
        <v>45391</v>
      </c>
      <c r="C544" s="11">
        <v>75.05</v>
      </c>
      <c r="D544" s="43">
        <f t="shared" si="8"/>
        <v>-9.2363952262276491E-3</v>
      </c>
    </row>
    <row r="545" spans="2:4" x14ac:dyDescent="0.35">
      <c r="B545" s="10">
        <v>45390</v>
      </c>
      <c r="C545" s="11">
        <v>74.19</v>
      </c>
      <c r="D545" s="43">
        <f t="shared" si="8"/>
        <v>1.1525187878036369E-2</v>
      </c>
    </row>
    <row r="546" spans="2:4" x14ac:dyDescent="0.35">
      <c r="B546" s="10">
        <v>45387</v>
      </c>
      <c r="C546" s="11">
        <v>72.709999999999994</v>
      </c>
      <c r="D546" s="43">
        <f t="shared" si="8"/>
        <v>2.0150443539469085E-2</v>
      </c>
    </row>
    <row r="547" spans="2:4" x14ac:dyDescent="0.35">
      <c r="B547" s="10">
        <v>45386</v>
      </c>
      <c r="C547" s="11">
        <v>69.180000000000007</v>
      </c>
      <c r="D547" s="43">
        <f t="shared" si="8"/>
        <v>4.9767123152942627E-2</v>
      </c>
    </row>
    <row r="548" spans="2:4" x14ac:dyDescent="0.35">
      <c r="B548" s="10">
        <v>45385</v>
      </c>
      <c r="C548" s="11">
        <v>70.92</v>
      </c>
      <c r="D548" s="43">
        <f t="shared" si="8"/>
        <v>-2.4840677696984462E-2</v>
      </c>
    </row>
    <row r="549" spans="2:4" x14ac:dyDescent="0.35">
      <c r="B549" s="10">
        <v>45384</v>
      </c>
      <c r="C549" s="11">
        <v>70.97</v>
      </c>
      <c r="D549" s="43">
        <f t="shared" si="8"/>
        <v>-7.0477133088431624E-4</v>
      </c>
    </row>
    <row r="550" spans="2:4" x14ac:dyDescent="0.35">
      <c r="B550" s="10">
        <v>45383</v>
      </c>
      <c r="C550" s="11">
        <v>73.02</v>
      </c>
      <c r="D550" s="43">
        <f t="shared" si="8"/>
        <v>-2.8476123690599264E-2</v>
      </c>
    </row>
    <row r="551" spans="2:4" x14ac:dyDescent="0.35">
      <c r="B551" s="10">
        <v>45379</v>
      </c>
      <c r="C551" s="11">
        <v>70.11</v>
      </c>
      <c r="D551" s="43">
        <f t="shared" si="8"/>
        <v>4.066793900861447E-2</v>
      </c>
    </row>
    <row r="552" spans="2:4" x14ac:dyDescent="0.35">
      <c r="B552" s="10">
        <v>45378</v>
      </c>
      <c r="C552" s="11">
        <v>71.41</v>
      </c>
      <c r="D552" s="43">
        <f t="shared" si="8"/>
        <v>-1.8372478342142364E-2</v>
      </c>
    </row>
    <row r="553" spans="2:4" x14ac:dyDescent="0.35">
      <c r="B553" s="10">
        <v>45377</v>
      </c>
      <c r="C553" s="11">
        <v>71.150000000000006</v>
      </c>
      <c r="D553" s="43">
        <f t="shared" si="8"/>
        <v>3.6475910251570934E-3</v>
      </c>
    </row>
    <row r="554" spans="2:4" x14ac:dyDescent="0.35">
      <c r="B554" s="10">
        <v>45376</v>
      </c>
      <c r="C554" s="11">
        <v>68.73</v>
      </c>
      <c r="D554" s="43">
        <f t="shared" si="8"/>
        <v>3.4604539402347631E-2</v>
      </c>
    </row>
    <row r="555" spans="2:4" x14ac:dyDescent="0.35">
      <c r="B555" s="10">
        <v>45373</v>
      </c>
      <c r="C555" s="11">
        <v>67.42</v>
      </c>
      <c r="D555" s="43">
        <f t="shared" si="8"/>
        <v>1.9244075327599135E-2</v>
      </c>
    </row>
    <row r="556" spans="2:4" x14ac:dyDescent="0.35">
      <c r="B556" s="10">
        <v>45372</v>
      </c>
      <c r="C556" s="11">
        <v>66.03</v>
      </c>
      <c r="D556" s="43">
        <f t="shared" si="8"/>
        <v>2.0832525599434777E-2</v>
      </c>
    </row>
    <row r="557" spans="2:4" x14ac:dyDescent="0.35">
      <c r="B557" s="10">
        <v>45371</v>
      </c>
      <c r="C557" s="11">
        <v>67.36</v>
      </c>
      <c r="D557" s="43">
        <f t="shared" si="8"/>
        <v>-1.9942185727591266E-2</v>
      </c>
    </row>
    <row r="558" spans="2:4" x14ac:dyDescent="0.35">
      <c r="B558" s="10">
        <v>45370</v>
      </c>
      <c r="C558" s="11">
        <v>67.59</v>
      </c>
      <c r="D558" s="43">
        <f t="shared" si="8"/>
        <v>-3.4086731781915844E-3</v>
      </c>
    </row>
    <row r="559" spans="2:4" x14ac:dyDescent="0.35">
      <c r="B559" s="10">
        <v>45369</v>
      </c>
      <c r="C559" s="11">
        <v>63.75</v>
      </c>
      <c r="D559" s="43">
        <f t="shared" si="8"/>
        <v>5.8490859073727329E-2</v>
      </c>
    </row>
    <row r="560" spans="2:4" x14ac:dyDescent="0.35">
      <c r="B560" s="10">
        <v>45366</v>
      </c>
      <c r="C560" s="11">
        <v>65.19</v>
      </c>
      <c r="D560" s="43">
        <f t="shared" si="8"/>
        <v>-2.2336898897912426E-2</v>
      </c>
    </row>
    <row r="561" spans="2:4" x14ac:dyDescent="0.35">
      <c r="B561" s="10">
        <v>45365</v>
      </c>
      <c r="C561" s="11">
        <v>63.75</v>
      </c>
      <c r="D561" s="43">
        <f t="shared" si="8"/>
        <v>2.2336898897912363E-2</v>
      </c>
    </row>
    <row r="562" spans="2:4" x14ac:dyDescent="0.35">
      <c r="B562" s="10">
        <v>45364</v>
      </c>
      <c r="C562" s="11">
        <v>64.63</v>
      </c>
      <c r="D562" s="43">
        <f t="shared" si="8"/>
        <v>-1.3709515236268515E-2</v>
      </c>
    </row>
    <row r="563" spans="2:4" x14ac:dyDescent="0.35">
      <c r="B563" s="10">
        <v>45363</v>
      </c>
      <c r="C563" s="11">
        <v>64.55</v>
      </c>
      <c r="D563" s="43">
        <f t="shared" si="8"/>
        <v>1.2385819821525608E-3</v>
      </c>
    </row>
    <row r="564" spans="2:4" x14ac:dyDescent="0.35">
      <c r="B564" s="10">
        <v>45362</v>
      </c>
      <c r="C564" s="11">
        <v>64.39</v>
      </c>
      <c r="D564" s="43">
        <f t="shared" si="8"/>
        <v>2.4817757425593646E-3</v>
      </c>
    </row>
    <row r="565" spans="2:4" x14ac:dyDescent="0.35">
      <c r="B565" s="10">
        <v>45359</v>
      </c>
      <c r="C565" s="11">
        <v>65.75</v>
      </c>
      <c r="D565" s="43">
        <f t="shared" si="8"/>
        <v>-2.0901329507781785E-2</v>
      </c>
    </row>
    <row r="566" spans="2:4" x14ac:dyDescent="0.35">
      <c r="B566" s="10">
        <v>45358</v>
      </c>
      <c r="C566" s="11">
        <v>65.84</v>
      </c>
      <c r="D566" s="43">
        <f t="shared" si="8"/>
        <v>-1.3678853109404894E-3</v>
      </c>
    </row>
    <row r="567" spans="2:4" x14ac:dyDescent="0.35">
      <c r="B567" s="10">
        <v>45357</v>
      </c>
      <c r="C567" s="11">
        <v>66.88</v>
      </c>
      <c r="D567" s="43">
        <f t="shared" si="8"/>
        <v>-1.5672412407631696E-2</v>
      </c>
    </row>
    <row r="568" spans="2:4" x14ac:dyDescent="0.35">
      <c r="B568" s="10">
        <v>45356</v>
      </c>
      <c r="C568" s="11">
        <v>66.430000000000007</v>
      </c>
      <c r="D568" s="43">
        <f t="shared" si="8"/>
        <v>6.7512070992961724E-3</v>
      </c>
    </row>
    <row r="569" spans="2:4" x14ac:dyDescent="0.35">
      <c r="B569" s="10">
        <v>45355</v>
      </c>
      <c r="C569" s="11">
        <v>67.680000000000007</v>
      </c>
      <c r="D569" s="43">
        <f t="shared" si="8"/>
        <v>-1.864195362081807E-2</v>
      </c>
    </row>
    <row r="570" spans="2:4" x14ac:dyDescent="0.35">
      <c r="B570" s="10">
        <v>45352</v>
      </c>
      <c r="C570" s="11">
        <v>73.98</v>
      </c>
      <c r="D570" s="43">
        <f t="shared" si="8"/>
        <v>-8.9004071106340094E-2</v>
      </c>
    </row>
    <row r="571" spans="2:4" x14ac:dyDescent="0.35">
      <c r="B571" s="10">
        <v>45351</v>
      </c>
      <c r="C571" s="11">
        <v>72.239999999999995</v>
      </c>
      <c r="D571" s="43">
        <f t="shared" si="8"/>
        <v>2.3800877295578022E-2</v>
      </c>
    </row>
    <row r="572" spans="2:4" x14ac:dyDescent="0.35">
      <c r="B572" s="10">
        <v>45350</v>
      </c>
      <c r="C572" s="11">
        <v>73.09</v>
      </c>
      <c r="D572" s="43">
        <f t="shared" si="8"/>
        <v>-1.1697649383570492E-2</v>
      </c>
    </row>
    <row r="573" spans="2:4" x14ac:dyDescent="0.35">
      <c r="B573" s="10">
        <v>45349</v>
      </c>
      <c r="C573" s="11">
        <v>80.989999999999995</v>
      </c>
      <c r="D573" s="43">
        <f t="shared" si="8"/>
        <v>-0.10263413176859812</v>
      </c>
    </row>
    <row r="574" spans="2:4" x14ac:dyDescent="0.35">
      <c r="B574" s="10">
        <v>45348</v>
      </c>
      <c r="C574" s="11">
        <v>79</v>
      </c>
      <c r="D574" s="43">
        <f t="shared" si="8"/>
        <v>2.4877837793876888E-2</v>
      </c>
    </row>
    <row r="575" spans="2:4" x14ac:dyDescent="0.35">
      <c r="B575" s="10">
        <v>45345</v>
      </c>
      <c r="C575" s="11">
        <v>78.02</v>
      </c>
      <c r="D575" s="43">
        <f t="shared" si="8"/>
        <v>1.2482648388511019E-2</v>
      </c>
    </row>
    <row r="576" spans="2:4" x14ac:dyDescent="0.35">
      <c r="B576" s="10">
        <v>45344</v>
      </c>
      <c r="C576" s="11">
        <v>75.59</v>
      </c>
      <c r="D576" s="43">
        <f t="shared" si="8"/>
        <v>3.1641204774424996E-2</v>
      </c>
    </row>
    <row r="577" spans="2:4" x14ac:dyDescent="0.35">
      <c r="B577" s="10">
        <v>45343</v>
      </c>
      <c r="C577" s="11">
        <v>76.5</v>
      </c>
      <c r="D577" s="43">
        <f t="shared" si="8"/>
        <v>-1.1966741528404729E-2</v>
      </c>
    </row>
    <row r="578" spans="2:4" x14ac:dyDescent="0.35">
      <c r="B578" s="10">
        <v>45342</v>
      </c>
      <c r="C578" s="11">
        <v>76.89</v>
      </c>
      <c r="D578" s="43">
        <f t="shared" si="8"/>
        <v>-5.0850882115992405E-3</v>
      </c>
    </row>
    <row r="579" spans="2:4" x14ac:dyDescent="0.35">
      <c r="B579" s="10">
        <v>45338</v>
      </c>
      <c r="C579" s="11">
        <v>76.89</v>
      </c>
      <c r="D579" s="43">
        <f t="shared" si="8"/>
        <v>0</v>
      </c>
    </row>
    <row r="580" spans="2:4" x14ac:dyDescent="0.35">
      <c r="B580" s="10">
        <v>45337</v>
      </c>
      <c r="C580" s="11">
        <v>78.56</v>
      </c>
      <c r="D580" s="43">
        <f t="shared" ref="D580:D643" si="9">IFERROR(LN(C579/C580),"")</f>
        <v>-2.1486835002121056E-2</v>
      </c>
    </row>
    <row r="581" spans="2:4" x14ac:dyDescent="0.35">
      <c r="B581" s="10">
        <v>45336</v>
      </c>
      <c r="C581" s="11">
        <v>76.5</v>
      </c>
      <c r="D581" s="43">
        <f t="shared" si="9"/>
        <v>2.6571923213720375E-2</v>
      </c>
    </row>
    <row r="582" spans="2:4" x14ac:dyDescent="0.35">
      <c r="B582" s="10">
        <v>45335</v>
      </c>
      <c r="C582" s="11">
        <v>77.03</v>
      </c>
      <c r="D582" s="43">
        <f t="shared" si="9"/>
        <v>-6.9042155323843415E-3</v>
      </c>
    </row>
    <row r="583" spans="2:4" x14ac:dyDescent="0.35">
      <c r="B583" s="10">
        <v>45334</v>
      </c>
      <c r="C583" s="11">
        <v>79.3</v>
      </c>
      <c r="D583" s="43">
        <f t="shared" si="9"/>
        <v>-2.9043172275927853E-2</v>
      </c>
    </row>
    <row r="584" spans="2:4" x14ac:dyDescent="0.35">
      <c r="B584" s="10">
        <v>45331</v>
      </c>
      <c r="C584" s="11">
        <v>76.94</v>
      </c>
      <c r="D584" s="43">
        <f t="shared" si="9"/>
        <v>3.021223131665321E-2</v>
      </c>
    </row>
    <row r="585" spans="2:4" x14ac:dyDescent="0.35">
      <c r="B585" s="10">
        <v>45330</v>
      </c>
      <c r="C585" s="11">
        <v>78.94</v>
      </c>
      <c r="D585" s="43">
        <f t="shared" si="9"/>
        <v>-2.5662172910552034E-2</v>
      </c>
    </row>
    <row r="586" spans="2:4" x14ac:dyDescent="0.35">
      <c r="B586" s="10">
        <v>45329</v>
      </c>
      <c r="C586" s="11">
        <v>77.12</v>
      </c>
      <c r="D586" s="43">
        <f t="shared" si="9"/>
        <v>2.3325419932410798E-2</v>
      </c>
    </row>
    <row r="587" spans="2:4" x14ac:dyDescent="0.35">
      <c r="B587" s="10">
        <v>45328</v>
      </c>
      <c r="C587" s="11">
        <v>80.16</v>
      </c>
      <c r="D587" s="43">
        <f t="shared" si="9"/>
        <v>-3.8661987034264385E-2</v>
      </c>
    </row>
    <row r="588" spans="2:4" x14ac:dyDescent="0.35">
      <c r="B588" s="10">
        <v>45327</v>
      </c>
      <c r="C588" s="11">
        <v>80.16</v>
      </c>
      <c r="D588" s="43">
        <f t="shared" si="9"/>
        <v>0</v>
      </c>
    </row>
    <row r="589" spans="2:4" x14ac:dyDescent="0.35">
      <c r="B589" s="10">
        <v>45324</v>
      </c>
      <c r="C589" s="11">
        <v>81.87</v>
      </c>
      <c r="D589" s="43">
        <f t="shared" si="9"/>
        <v>-2.1107986051802228E-2</v>
      </c>
    </row>
    <row r="590" spans="2:4" x14ac:dyDescent="0.35">
      <c r="B590" s="10">
        <v>45323</v>
      </c>
      <c r="C590" s="11">
        <v>81.25</v>
      </c>
      <c r="D590" s="43">
        <f t="shared" si="9"/>
        <v>7.6018021785100266E-3</v>
      </c>
    </row>
    <row r="591" spans="2:4" x14ac:dyDescent="0.35">
      <c r="B591" s="10">
        <v>45322</v>
      </c>
      <c r="C591" s="11">
        <v>78.13</v>
      </c>
      <c r="D591" s="43">
        <f t="shared" si="9"/>
        <v>3.9156715201193883E-2</v>
      </c>
    </row>
    <row r="592" spans="2:4" x14ac:dyDescent="0.35">
      <c r="B592" s="10">
        <v>45321</v>
      </c>
      <c r="C592" s="11">
        <v>78.73</v>
      </c>
      <c r="D592" s="43">
        <f t="shared" si="9"/>
        <v>-7.6501711877230158E-3</v>
      </c>
    </row>
    <row r="593" spans="2:4" x14ac:dyDescent="0.35">
      <c r="B593" s="10">
        <v>45320</v>
      </c>
      <c r="C593" s="11">
        <v>79.989999999999995</v>
      </c>
      <c r="D593" s="43">
        <f t="shared" si="9"/>
        <v>-1.587734966435457E-2</v>
      </c>
    </row>
    <row r="594" spans="2:4" x14ac:dyDescent="0.35">
      <c r="B594" s="10">
        <v>45317</v>
      </c>
      <c r="C594" s="11">
        <v>82.74</v>
      </c>
      <c r="D594" s="43">
        <f t="shared" si="9"/>
        <v>-3.3801534172534925E-2</v>
      </c>
    </row>
    <row r="595" spans="2:4" x14ac:dyDescent="0.35">
      <c r="B595" s="10">
        <v>45316</v>
      </c>
      <c r="C595" s="11">
        <v>82.91</v>
      </c>
      <c r="D595" s="43">
        <f t="shared" si="9"/>
        <v>-2.0525210948618565E-3</v>
      </c>
    </row>
    <row r="596" spans="2:4" x14ac:dyDescent="0.35">
      <c r="B596" s="10">
        <v>45315</v>
      </c>
      <c r="C596" s="11">
        <v>81.77</v>
      </c>
      <c r="D596" s="43">
        <f t="shared" si="9"/>
        <v>1.3845253954241488E-2</v>
      </c>
    </row>
    <row r="597" spans="2:4" x14ac:dyDescent="0.35">
      <c r="B597" s="10">
        <v>45314</v>
      </c>
      <c r="C597" s="11">
        <v>84.8</v>
      </c>
      <c r="D597" s="43">
        <f t="shared" si="9"/>
        <v>-3.6385114623971537E-2</v>
      </c>
    </row>
    <row r="598" spans="2:4" x14ac:dyDescent="0.35">
      <c r="B598" s="10">
        <v>45313</v>
      </c>
      <c r="C598" s="11">
        <v>83.69</v>
      </c>
      <c r="D598" s="43">
        <f t="shared" si="9"/>
        <v>1.3176046753074632E-2</v>
      </c>
    </row>
    <row r="599" spans="2:4" x14ac:dyDescent="0.35">
      <c r="B599" s="10">
        <v>45310</v>
      </c>
      <c r="C599" s="11">
        <v>80.959999999999994</v>
      </c>
      <c r="D599" s="43">
        <f t="shared" si="9"/>
        <v>3.316429050562731E-2</v>
      </c>
    </row>
    <row r="600" spans="2:4" x14ac:dyDescent="0.35">
      <c r="B600" s="10">
        <v>45309</v>
      </c>
      <c r="C600" s="11">
        <v>82.74</v>
      </c>
      <c r="D600" s="43">
        <f t="shared" si="9"/>
        <v>-2.1747955494110054E-2</v>
      </c>
    </row>
    <row r="601" spans="2:4" x14ac:dyDescent="0.35">
      <c r="B601" s="10">
        <v>45308</v>
      </c>
      <c r="C601" s="11">
        <v>85.68</v>
      </c>
      <c r="D601" s="43">
        <f t="shared" si="9"/>
        <v>-3.4916265106227987E-2</v>
      </c>
    </row>
    <row r="602" spans="2:4" x14ac:dyDescent="0.35">
      <c r="B602" s="10">
        <v>45307</v>
      </c>
      <c r="C602" s="11">
        <v>81.19</v>
      </c>
      <c r="D602" s="43">
        <f t="shared" si="9"/>
        <v>5.3827339265138399E-2</v>
      </c>
    </row>
    <row r="603" spans="2:4" x14ac:dyDescent="0.35">
      <c r="B603" s="10">
        <v>45303</v>
      </c>
      <c r="C603" s="11">
        <v>85.6</v>
      </c>
      <c r="D603" s="43">
        <f t="shared" si="9"/>
        <v>-5.2893196273341249E-2</v>
      </c>
    </row>
    <row r="604" spans="2:4" x14ac:dyDescent="0.35">
      <c r="B604" s="10">
        <v>45302</v>
      </c>
      <c r="C604" s="11">
        <v>84.95</v>
      </c>
      <c r="D604" s="43">
        <f t="shared" si="9"/>
        <v>7.6224350297553062E-3</v>
      </c>
    </row>
    <row r="605" spans="2:4" x14ac:dyDescent="0.35">
      <c r="B605" s="10">
        <v>45301</v>
      </c>
      <c r="C605" s="11">
        <v>101.63</v>
      </c>
      <c r="D605" s="43">
        <f t="shared" si="9"/>
        <v>-0.17927591903173398</v>
      </c>
    </row>
    <row r="606" spans="2:4" x14ac:dyDescent="0.35">
      <c r="B606" s="10">
        <v>45300</v>
      </c>
      <c r="C606" s="11">
        <v>101.97</v>
      </c>
      <c r="D606" s="43">
        <f t="shared" si="9"/>
        <v>-3.3398852264592892E-3</v>
      </c>
    </row>
    <row r="607" spans="2:4" x14ac:dyDescent="0.35">
      <c r="B607" s="10">
        <v>45299</v>
      </c>
      <c r="C607" s="11">
        <v>108.06</v>
      </c>
      <c r="D607" s="43">
        <f t="shared" si="9"/>
        <v>-5.8007976039785449E-2</v>
      </c>
    </row>
    <row r="608" spans="2:4" x14ac:dyDescent="0.35">
      <c r="B608" s="10">
        <v>45296</v>
      </c>
      <c r="C608" s="11">
        <v>93.73</v>
      </c>
      <c r="D608" s="43">
        <f t="shared" si="9"/>
        <v>0.14226831965752529</v>
      </c>
    </row>
    <row r="609" spans="2:4" x14ac:dyDescent="0.35">
      <c r="B609" s="10">
        <v>45295</v>
      </c>
      <c r="C609" s="11">
        <v>88.24</v>
      </c>
      <c r="D609" s="43">
        <f t="shared" si="9"/>
        <v>6.0357933813147545E-2</v>
      </c>
    </row>
    <row r="610" spans="2:4" x14ac:dyDescent="0.35">
      <c r="B610" s="10">
        <v>45294</v>
      </c>
      <c r="C610" s="11">
        <v>86.64</v>
      </c>
      <c r="D610" s="43">
        <f t="shared" si="9"/>
        <v>1.8298772252511687E-2</v>
      </c>
    </row>
    <row r="611" spans="2:4" x14ac:dyDescent="0.35">
      <c r="B611" s="10">
        <v>45293</v>
      </c>
      <c r="C611" s="11">
        <v>84.12</v>
      </c>
      <c r="D611" s="43">
        <f t="shared" si="9"/>
        <v>2.9517251858236185E-2</v>
      </c>
    </row>
    <row r="612" spans="2:4" x14ac:dyDescent="0.35">
      <c r="B612" s="10">
        <v>45289</v>
      </c>
      <c r="C612" s="11">
        <v>83.49</v>
      </c>
      <c r="D612" s="43">
        <f t="shared" si="9"/>
        <v>7.5174866285900874E-3</v>
      </c>
    </row>
    <row r="613" spans="2:4" x14ac:dyDescent="0.35">
      <c r="B613" s="10">
        <v>45288</v>
      </c>
      <c r="C613" s="11">
        <v>83.24</v>
      </c>
      <c r="D613" s="43">
        <f t="shared" si="9"/>
        <v>2.9988626804755255E-3</v>
      </c>
    </row>
    <row r="614" spans="2:4" x14ac:dyDescent="0.35">
      <c r="B614" s="10">
        <v>45287</v>
      </c>
      <c r="C614" s="11">
        <v>83.44</v>
      </c>
      <c r="D614" s="43">
        <f t="shared" si="9"/>
        <v>-2.3998091670833668E-3</v>
      </c>
    </row>
    <row r="615" spans="2:4" x14ac:dyDescent="0.35">
      <c r="B615" s="10">
        <v>45286</v>
      </c>
      <c r="C615" s="11">
        <v>45.71</v>
      </c>
      <c r="D615" s="43">
        <f t="shared" si="9"/>
        <v>0.60181071834886402</v>
      </c>
    </row>
    <row r="616" spans="2:4" x14ac:dyDescent="0.35">
      <c r="B616" s="10">
        <v>45282</v>
      </c>
      <c r="C616" s="11">
        <v>44.6</v>
      </c>
      <c r="D616" s="43">
        <f t="shared" si="9"/>
        <v>2.4583233317634543E-2</v>
      </c>
    </row>
    <row r="617" spans="2:4" x14ac:dyDescent="0.35">
      <c r="B617" s="10">
        <v>45281</v>
      </c>
      <c r="C617" s="11">
        <v>44.82</v>
      </c>
      <c r="D617" s="43">
        <f t="shared" si="9"/>
        <v>-4.9206093467625417E-3</v>
      </c>
    </row>
    <row r="618" spans="2:4" x14ac:dyDescent="0.35">
      <c r="B618" s="10">
        <v>45280</v>
      </c>
      <c r="C618" s="11">
        <v>35.72</v>
      </c>
      <c r="D618" s="43">
        <f t="shared" si="9"/>
        <v>0.2269437123644826</v>
      </c>
    </row>
    <row r="619" spans="2:4" x14ac:dyDescent="0.35">
      <c r="B619" s="10">
        <v>45279</v>
      </c>
      <c r="C619" s="11">
        <v>36.840000000000003</v>
      </c>
      <c r="D619" s="43">
        <f t="shared" si="9"/>
        <v>-3.0873455378807927E-2</v>
      </c>
    </row>
    <row r="620" spans="2:4" x14ac:dyDescent="0.35">
      <c r="B620" s="10">
        <v>45278</v>
      </c>
      <c r="C620" s="11">
        <v>36.090000000000003</v>
      </c>
      <c r="D620" s="43">
        <f t="shared" si="9"/>
        <v>2.0568392732408895E-2</v>
      </c>
    </row>
    <row r="621" spans="2:4" x14ac:dyDescent="0.35">
      <c r="B621" s="10">
        <v>45275</v>
      </c>
      <c r="C621" s="11">
        <v>36.07</v>
      </c>
      <c r="D621" s="43">
        <f t="shared" si="9"/>
        <v>5.5432373924971419E-4</v>
      </c>
    </row>
    <row r="622" spans="2:4" x14ac:dyDescent="0.35">
      <c r="B622" s="10">
        <v>45274</v>
      </c>
      <c r="C622" s="11">
        <v>36.61</v>
      </c>
      <c r="D622" s="43">
        <f t="shared" si="9"/>
        <v>-1.4859932216697177E-2</v>
      </c>
    </row>
    <row r="623" spans="2:4" x14ac:dyDescent="0.35">
      <c r="B623" s="10">
        <v>45273</v>
      </c>
      <c r="C623" s="11">
        <v>37.380000000000003</v>
      </c>
      <c r="D623" s="43">
        <f t="shared" si="9"/>
        <v>-2.0814374895271989E-2</v>
      </c>
    </row>
    <row r="624" spans="2:4" x14ac:dyDescent="0.35">
      <c r="B624" s="10">
        <v>45272</v>
      </c>
      <c r="C624" s="11">
        <v>35.11</v>
      </c>
      <c r="D624" s="43">
        <f t="shared" si="9"/>
        <v>6.2649811847075923E-2</v>
      </c>
    </row>
    <row r="625" spans="2:4" x14ac:dyDescent="0.35">
      <c r="B625" s="10">
        <v>45271</v>
      </c>
      <c r="C625" s="11">
        <v>35.5</v>
      </c>
      <c r="D625" s="43">
        <f t="shared" si="9"/>
        <v>-1.104670630102929E-2</v>
      </c>
    </row>
    <row r="626" spans="2:4" x14ac:dyDescent="0.35">
      <c r="B626" s="10">
        <v>45268</v>
      </c>
      <c r="C626" s="11">
        <v>34.1</v>
      </c>
      <c r="D626" s="43">
        <f t="shared" si="9"/>
        <v>4.0235312191898971E-2</v>
      </c>
    </row>
    <row r="627" spans="2:4" x14ac:dyDescent="0.35">
      <c r="B627" s="10">
        <v>45267</v>
      </c>
      <c r="C627" s="11">
        <v>34.86</v>
      </c>
      <c r="D627" s="43">
        <f t="shared" si="9"/>
        <v>-2.2042655802403645E-2</v>
      </c>
    </row>
    <row r="628" spans="2:4" x14ac:dyDescent="0.35">
      <c r="B628" s="10">
        <v>45266</v>
      </c>
      <c r="C628" s="11">
        <v>33.46</v>
      </c>
      <c r="D628" s="43">
        <f t="shared" si="9"/>
        <v>4.0989344533196949E-2</v>
      </c>
    </row>
    <row r="629" spans="2:4" x14ac:dyDescent="0.35">
      <c r="B629" s="10">
        <v>45265</v>
      </c>
      <c r="C629" s="11">
        <v>32.56</v>
      </c>
      <c r="D629" s="43">
        <f t="shared" si="9"/>
        <v>2.7266154424338277E-2</v>
      </c>
    </row>
    <row r="630" spans="2:4" x14ac:dyDescent="0.35">
      <c r="B630" s="10">
        <v>45264</v>
      </c>
      <c r="C630" s="11">
        <v>33.89</v>
      </c>
      <c r="D630" s="43">
        <f t="shared" si="9"/>
        <v>-4.0035444484620417E-2</v>
      </c>
    </row>
    <row r="631" spans="2:4" x14ac:dyDescent="0.35">
      <c r="B631" s="10">
        <v>45261</v>
      </c>
      <c r="C631" s="11">
        <v>33.57</v>
      </c>
      <c r="D631" s="43">
        <f t="shared" si="9"/>
        <v>9.4871746270164432E-3</v>
      </c>
    </row>
    <row r="632" spans="2:4" x14ac:dyDescent="0.35">
      <c r="B632" s="10">
        <v>45260</v>
      </c>
      <c r="C632" s="11">
        <v>33.479999999999997</v>
      </c>
      <c r="D632" s="43">
        <f t="shared" si="9"/>
        <v>2.6845653706689828E-3</v>
      </c>
    </row>
    <row r="633" spans="2:4" x14ac:dyDescent="0.35">
      <c r="B633" s="10">
        <v>45259</v>
      </c>
      <c r="C633" s="11">
        <v>32.14</v>
      </c>
      <c r="D633" s="43">
        <f t="shared" si="9"/>
        <v>4.0846885311907971E-2</v>
      </c>
    </row>
    <row r="634" spans="2:4" x14ac:dyDescent="0.35">
      <c r="B634" s="10">
        <v>45258</v>
      </c>
      <c r="C634" s="11">
        <v>31.22</v>
      </c>
      <c r="D634" s="43">
        <f t="shared" si="9"/>
        <v>2.9042445222080514E-2</v>
      </c>
    </row>
    <row r="635" spans="2:4" x14ac:dyDescent="0.35">
      <c r="B635" s="10">
        <v>45257</v>
      </c>
      <c r="C635" s="11">
        <v>31.83</v>
      </c>
      <c r="D635" s="43">
        <f t="shared" si="9"/>
        <v>-1.9350326206715483E-2</v>
      </c>
    </row>
    <row r="636" spans="2:4" x14ac:dyDescent="0.35">
      <c r="B636" s="10">
        <v>45254</v>
      </c>
      <c r="C636" s="11">
        <v>31.97</v>
      </c>
      <c r="D636" s="43">
        <f t="shared" si="9"/>
        <v>-4.3887217777486423E-3</v>
      </c>
    </row>
    <row r="637" spans="2:4" x14ac:dyDescent="0.35">
      <c r="B637" s="10">
        <v>45252</v>
      </c>
      <c r="C637" s="11">
        <v>31.91</v>
      </c>
      <c r="D637" s="43">
        <f t="shared" si="9"/>
        <v>1.8785227815979943E-3</v>
      </c>
    </row>
    <row r="638" spans="2:4" x14ac:dyDescent="0.35">
      <c r="B638" s="10">
        <v>45251</v>
      </c>
      <c r="C638" s="11">
        <v>31.74</v>
      </c>
      <c r="D638" s="43">
        <f t="shared" si="9"/>
        <v>5.3417251918891412E-3</v>
      </c>
    </row>
    <row r="639" spans="2:4" x14ac:dyDescent="0.35">
      <c r="B639" s="10">
        <v>45250</v>
      </c>
      <c r="C639" s="11">
        <v>32.31</v>
      </c>
      <c r="D639" s="43">
        <f t="shared" si="9"/>
        <v>-1.779906473814398E-2</v>
      </c>
    </row>
    <row r="640" spans="2:4" x14ac:dyDescent="0.35">
      <c r="B640" s="10">
        <v>45247</v>
      </c>
      <c r="C640" s="11">
        <v>32.44</v>
      </c>
      <c r="D640" s="43">
        <f t="shared" si="9"/>
        <v>-4.0154494108051294E-3</v>
      </c>
    </row>
    <row r="641" spans="2:4" x14ac:dyDescent="0.35">
      <c r="B641" s="10">
        <v>45246</v>
      </c>
      <c r="C641" s="11">
        <v>31.68</v>
      </c>
      <c r="D641" s="43">
        <f t="shared" si="9"/>
        <v>2.3706662300987082E-2</v>
      </c>
    </row>
    <row r="642" spans="2:4" x14ac:dyDescent="0.35">
      <c r="B642" s="10">
        <v>45245</v>
      </c>
      <c r="C642" s="11">
        <v>32.83</v>
      </c>
      <c r="D642" s="43">
        <f t="shared" si="9"/>
        <v>-3.5657164567276127E-2</v>
      </c>
    </row>
    <row r="643" spans="2:4" x14ac:dyDescent="0.35">
      <c r="B643" s="10">
        <v>45244</v>
      </c>
      <c r="C643" s="11">
        <v>34.29</v>
      </c>
      <c r="D643" s="43">
        <f t="shared" si="9"/>
        <v>-4.351103496132773E-2</v>
      </c>
    </row>
    <row r="644" spans="2:4" x14ac:dyDescent="0.35">
      <c r="B644" s="10">
        <v>45243</v>
      </c>
      <c r="C644" s="11">
        <v>32.01</v>
      </c>
      <c r="D644" s="43">
        <f t="shared" ref="D644:D707" si="10">IFERROR(LN(C643/C644),"")</f>
        <v>6.8805412493057369E-2</v>
      </c>
    </row>
    <row r="645" spans="2:4" x14ac:dyDescent="0.35">
      <c r="B645" s="10">
        <v>45240</v>
      </c>
      <c r="C645" s="11">
        <v>32.5</v>
      </c>
      <c r="D645" s="43">
        <f t="shared" si="10"/>
        <v>-1.5191735353920134E-2</v>
      </c>
    </row>
    <row r="646" spans="2:4" x14ac:dyDescent="0.35">
      <c r="B646" s="10">
        <v>45239</v>
      </c>
      <c r="C646" s="11">
        <v>33.11</v>
      </c>
      <c r="D646" s="43">
        <f t="shared" si="10"/>
        <v>-1.8595262223463041E-2</v>
      </c>
    </row>
    <row r="647" spans="2:4" x14ac:dyDescent="0.35">
      <c r="B647" s="10">
        <v>45238</v>
      </c>
      <c r="C647" s="11">
        <v>34.76</v>
      </c>
      <c r="D647" s="43">
        <f t="shared" si="10"/>
        <v>-4.8631948838036301E-2</v>
      </c>
    </row>
    <row r="648" spans="2:4" x14ac:dyDescent="0.35">
      <c r="B648" s="10">
        <v>45237</v>
      </c>
      <c r="C648" s="11">
        <v>35.85</v>
      </c>
      <c r="D648" s="43">
        <f t="shared" si="10"/>
        <v>-3.0876266648438191E-2</v>
      </c>
    </row>
    <row r="649" spans="2:4" x14ac:dyDescent="0.35">
      <c r="B649" s="10">
        <v>45236</v>
      </c>
      <c r="C649" s="11">
        <v>34.43</v>
      </c>
      <c r="D649" s="43">
        <f t="shared" si="10"/>
        <v>4.0415289695196983E-2</v>
      </c>
    </row>
    <row r="650" spans="2:4" x14ac:dyDescent="0.35">
      <c r="B650" s="10">
        <v>45233</v>
      </c>
      <c r="C650" s="11">
        <v>36.32</v>
      </c>
      <c r="D650" s="43">
        <f t="shared" si="10"/>
        <v>-5.3440276382660155E-2</v>
      </c>
    </row>
    <row r="651" spans="2:4" x14ac:dyDescent="0.35">
      <c r="B651" s="10">
        <v>45232</v>
      </c>
      <c r="C651" s="11">
        <v>34.64</v>
      </c>
      <c r="D651" s="43">
        <f t="shared" si="10"/>
        <v>4.735947003885823E-2</v>
      </c>
    </row>
    <row r="652" spans="2:4" x14ac:dyDescent="0.35">
      <c r="B652" s="10">
        <v>45231</v>
      </c>
      <c r="C652" s="11">
        <v>35.1</v>
      </c>
      <c r="D652" s="43">
        <f t="shared" si="10"/>
        <v>-1.3192046777585746E-2</v>
      </c>
    </row>
    <row r="653" spans="2:4" x14ac:dyDescent="0.35">
      <c r="B653" s="10">
        <v>45230</v>
      </c>
      <c r="C653" s="11">
        <v>34.86</v>
      </c>
      <c r="D653" s="43">
        <f t="shared" si="10"/>
        <v>6.861090379945381E-3</v>
      </c>
    </row>
    <row r="654" spans="2:4" x14ac:dyDescent="0.35">
      <c r="B654" s="10">
        <v>45229</v>
      </c>
      <c r="C654" s="11">
        <v>32.090000000000003</v>
      </c>
      <c r="D654" s="43">
        <f t="shared" si="10"/>
        <v>8.279558497010929E-2</v>
      </c>
    </row>
    <row r="655" spans="2:4" x14ac:dyDescent="0.35">
      <c r="B655" s="10">
        <v>45226</v>
      </c>
      <c r="C655" s="11">
        <v>31.74</v>
      </c>
      <c r="D655" s="43">
        <f t="shared" si="10"/>
        <v>1.0966740023502555E-2</v>
      </c>
    </row>
    <row r="656" spans="2:4" x14ac:dyDescent="0.35">
      <c r="B656" s="10">
        <v>45225</v>
      </c>
      <c r="C656" s="11">
        <v>32.409999999999997</v>
      </c>
      <c r="D656" s="43">
        <f t="shared" si="10"/>
        <v>-2.0889302055192942E-2</v>
      </c>
    </row>
    <row r="657" spans="2:4" x14ac:dyDescent="0.35">
      <c r="B657" s="10">
        <v>45224</v>
      </c>
      <c r="C657" s="11">
        <v>32.590000000000003</v>
      </c>
      <c r="D657" s="43">
        <f t="shared" si="10"/>
        <v>-5.53847569601436E-3</v>
      </c>
    </row>
    <row r="658" spans="2:4" x14ac:dyDescent="0.35">
      <c r="B658" s="10">
        <v>45223</v>
      </c>
      <c r="C658" s="11">
        <v>31.86</v>
      </c>
      <c r="D658" s="43">
        <f t="shared" si="10"/>
        <v>2.2654188367567833E-2</v>
      </c>
    </row>
    <row r="659" spans="2:4" x14ac:dyDescent="0.35">
      <c r="B659" s="10">
        <v>45222</v>
      </c>
      <c r="C659" s="11">
        <v>31.88</v>
      </c>
      <c r="D659" s="43">
        <f t="shared" si="10"/>
        <v>-6.275494401118012E-4</v>
      </c>
    </row>
    <row r="660" spans="2:4" x14ac:dyDescent="0.35">
      <c r="B660" s="10">
        <v>45219</v>
      </c>
      <c r="C660" s="11">
        <v>33.11</v>
      </c>
      <c r="D660" s="43">
        <f t="shared" si="10"/>
        <v>-3.7856497637140572E-2</v>
      </c>
    </row>
    <row r="661" spans="2:4" x14ac:dyDescent="0.35">
      <c r="B661" s="10">
        <v>45218</v>
      </c>
      <c r="C661" s="11">
        <v>32.81</v>
      </c>
      <c r="D661" s="43">
        <f t="shared" si="10"/>
        <v>9.1020045861445829E-3</v>
      </c>
    </row>
    <row r="662" spans="2:4" x14ac:dyDescent="0.35">
      <c r="B662" s="10">
        <v>45217</v>
      </c>
      <c r="C662" s="11">
        <v>34.299999999999997</v>
      </c>
      <c r="D662" s="43">
        <f t="shared" si="10"/>
        <v>-4.4412007198883781E-2</v>
      </c>
    </row>
    <row r="663" spans="2:4" x14ac:dyDescent="0.35">
      <c r="B663" s="10">
        <v>45216</v>
      </c>
      <c r="C663" s="11">
        <v>35.380000000000003</v>
      </c>
      <c r="D663" s="43">
        <f t="shared" si="10"/>
        <v>-3.1001334559745131E-2</v>
      </c>
    </row>
    <row r="664" spans="2:4" x14ac:dyDescent="0.35">
      <c r="B664" s="10">
        <v>45215</v>
      </c>
      <c r="C664" s="11">
        <v>34.65</v>
      </c>
      <c r="D664" s="43">
        <f t="shared" si="10"/>
        <v>2.0848963095727143E-2</v>
      </c>
    </row>
    <row r="665" spans="2:4" x14ac:dyDescent="0.35">
      <c r="B665" s="10">
        <v>45212</v>
      </c>
      <c r="C665" s="11">
        <v>34.21</v>
      </c>
      <c r="D665" s="43">
        <f t="shared" si="10"/>
        <v>1.2779726646398801E-2</v>
      </c>
    </row>
    <row r="666" spans="2:4" x14ac:dyDescent="0.35">
      <c r="B666" s="10">
        <v>45211</v>
      </c>
      <c r="C666" s="11">
        <v>33.39</v>
      </c>
      <c r="D666" s="43">
        <f t="shared" si="10"/>
        <v>2.426154503395014E-2</v>
      </c>
    </row>
    <row r="667" spans="2:4" x14ac:dyDescent="0.35">
      <c r="B667" s="10">
        <v>45210</v>
      </c>
      <c r="C667" s="11">
        <v>35.950000000000003</v>
      </c>
      <c r="D667" s="43">
        <f t="shared" si="10"/>
        <v>-7.3872630211492624E-2</v>
      </c>
    </row>
    <row r="668" spans="2:4" x14ac:dyDescent="0.35">
      <c r="B668" s="10">
        <v>45209</v>
      </c>
      <c r="C668" s="11">
        <v>34.869999999999997</v>
      </c>
      <c r="D668" s="43">
        <f t="shared" si="10"/>
        <v>3.0502223479495973E-2</v>
      </c>
    </row>
    <row r="669" spans="2:4" x14ac:dyDescent="0.35">
      <c r="B669" s="10">
        <v>45208</v>
      </c>
      <c r="C669" s="11">
        <v>31.7</v>
      </c>
      <c r="D669" s="43">
        <f t="shared" si="10"/>
        <v>9.5310179804324741E-2</v>
      </c>
    </row>
    <row r="670" spans="2:4" x14ac:dyDescent="0.35">
      <c r="B670" s="10">
        <v>45205</v>
      </c>
      <c r="C670" s="11">
        <v>30.6</v>
      </c>
      <c r="D670" s="43">
        <f t="shared" si="10"/>
        <v>3.531667192489972E-2</v>
      </c>
    </row>
    <row r="671" spans="2:4" x14ac:dyDescent="0.35">
      <c r="B671" s="10">
        <v>45204</v>
      </c>
      <c r="C671" s="11">
        <v>27.47</v>
      </c>
      <c r="D671" s="43">
        <f t="shared" si="10"/>
        <v>0.10790550885115265</v>
      </c>
    </row>
    <row r="672" spans="2:4" x14ac:dyDescent="0.35">
      <c r="B672" s="10">
        <v>45203</v>
      </c>
      <c r="C672" s="11">
        <v>27.05</v>
      </c>
      <c r="D672" s="43">
        <f t="shared" si="10"/>
        <v>1.5407494814691898E-2</v>
      </c>
    </row>
    <row r="673" spans="2:4" x14ac:dyDescent="0.35">
      <c r="B673" s="10">
        <v>45202</v>
      </c>
      <c r="C673" s="11">
        <v>26.88</v>
      </c>
      <c r="D673" s="43">
        <f t="shared" si="10"/>
        <v>6.3044896375418491E-3</v>
      </c>
    </row>
    <row r="674" spans="2:4" x14ac:dyDescent="0.35">
      <c r="B674" s="10">
        <v>45201</v>
      </c>
      <c r="C674" s="11">
        <v>27.88</v>
      </c>
      <c r="D674" s="43">
        <f t="shared" si="10"/>
        <v>-3.6527070237374358E-2</v>
      </c>
    </row>
    <row r="675" spans="2:4" x14ac:dyDescent="0.35">
      <c r="B675" s="10">
        <v>45198</v>
      </c>
      <c r="C675" s="11">
        <v>29.46</v>
      </c>
      <c r="D675" s="43">
        <f t="shared" si="10"/>
        <v>-5.5123825142161194E-2</v>
      </c>
    </row>
    <row r="676" spans="2:4" x14ac:dyDescent="0.35">
      <c r="B676" s="10">
        <v>45197</v>
      </c>
      <c r="C676" s="11">
        <v>30.8</v>
      </c>
      <c r="D676" s="43">
        <f t="shared" si="10"/>
        <v>-4.4481278945044556E-2</v>
      </c>
    </row>
    <row r="677" spans="2:4" x14ac:dyDescent="0.35">
      <c r="B677" s="10">
        <v>45196</v>
      </c>
      <c r="C677" s="11">
        <v>29.92</v>
      </c>
      <c r="D677" s="43">
        <f t="shared" si="10"/>
        <v>2.8987536873252187E-2</v>
      </c>
    </row>
    <row r="678" spans="2:4" x14ac:dyDescent="0.35">
      <c r="B678" s="10">
        <v>45195</v>
      </c>
      <c r="C678" s="11">
        <v>30</v>
      </c>
      <c r="D678" s="43">
        <f t="shared" si="10"/>
        <v>-2.6702285558788097E-3</v>
      </c>
    </row>
    <row r="679" spans="2:4" x14ac:dyDescent="0.35">
      <c r="B679" s="10">
        <v>45194</v>
      </c>
      <c r="C679" s="11">
        <v>29.98</v>
      </c>
      <c r="D679" s="43">
        <f t="shared" si="10"/>
        <v>6.6688898770377427E-4</v>
      </c>
    </row>
    <row r="680" spans="2:4" x14ac:dyDescent="0.35">
      <c r="B680" s="10">
        <v>45191</v>
      </c>
      <c r="C680" s="11">
        <v>30.95</v>
      </c>
      <c r="D680" s="43">
        <f t="shared" si="10"/>
        <v>-3.1842506456153392E-2</v>
      </c>
    </row>
    <row r="681" spans="2:4" x14ac:dyDescent="0.35">
      <c r="B681" s="10">
        <v>45190</v>
      </c>
      <c r="C681" s="11">
        <v>31.24</v>
      </c>
      <c r="D681" s="43">
        <f t="shared" si="10"/>
        <v>-9.3263258408800651E-3</v>
      </c>
    </row>
    <row r="682" spans="2:4" x14ac:dyDescent="0.35">
      <c r="B682" s="10">
        <v>45189</v>
      </c>
      <c r="C682" s="11">
        <v>31.97</v>
      </c>
      <c r="D682" s="43">
        <f t="shared" si="10"/>
        <v>-2.3098638100264912E-2</v>
      </c>
    </row>
    <row r="683" spans="2:4" x14ac:dyDescent="0.35">
      <c r="B683" s="10">
        <v>45188</v>
      </c>
      <c r="C683" s="11">
        <v>32.93</v>
      </c>
      <c r="D683" s="43">
        <f t="shared" si="10"/>
        <v>-2.9586133316522916E-2</v>
      </c>
    </row>
    <row r="684" spans="2:4" x14ac:dyDescent="0.35">
      <c r="B684" s="10">
        <v>45187</v>
      </c>
      <c r="C684" s="11">
        <v>33.869999999999997</v>
      </c>
      <c r="D684" s="43">
        <f t="shared" si="10"/>
        <v>-2.8145570441407346E-2</v>
      </c>
    </row>
    <row r="685" spans="2:4" x14ac:dyDescent="0.35">
      <c r="B685" s="10">
        <v>45184</v>
      </c>
      <c r="C685" s="11">
        <v>34.229999999999997</v>
      </c>
      <c r="D685" s="43">
        <f t="shared" si="10"/>
        <v>-1.0572785712413577E-2</v>
      </c>
    </row>
    <row r="686" spans="2:4" x14ac:dyDescent="0.35">
      <c r="B686" s="10">
        <v>45183</v>
      </c>
      <c r="C686" s="11">
        <v>34.21</v>
      </c>
      <c r="D686" s="43">
        <f t="shared" si="10"/>
        <v>5.8445355258060613E-4</v>
      </c>
    </row>
    <row r="687" spans="2:4" x14ac:dyDescent="0.35">
      <c r="B687" s="10">
        <v>45182</v>
      </c>
      <c r="C687" s="11">
        <v>34.83</v>
      </c>
      <c r="D687" s="43">
        <f t="shared" si="10"/>
        <v>-1.7961085388396445E-2</v>
      </c>
    </row>
    <row r="688" spans="2:4" x14ac:dyDescent="0.35">
      <c r="B688" s="10">
        <v>45181</v>
      </c>
      <c r="C688" s="11">
        <v>35.049999999999997</v>
      </c>
      <c r="D688" s="43">
        <f t="shared" si="10"/>
        <v>-6.2965291026892689E-3</v>
      </c>
    </row>
    <row r="689" spans="2:4" x14ac:dyDescent="0.35">
      <c r="B689" s="10">
        <v>45180</v>
      </c>
      <c r="C689" s="11">
        <v>34.729999999999997</v>
      </c>
      <c r="D689" s="43">
        <f t="shared" si="10"/>
        <v>9.1717467246165401E-3</v>
      </c>
    </row>
    <row r="690" spans="2:4" x14ac:dyDescent="0.35">
      <c r="B690" s="10">
        <v>45177</v>
      </c>
      <c r="C690" s="11">
        <v>36.06</v>
      </c>
      <c r="D690" s="43">
        <f t="shared" si="10"/>
        <v>-3.758035101918876E-2</v>
      </c>
    </row>
    <row r="691" spans="2:4" x14ac:dyDescent="0.35">
      <c r="B691" s="10">
        <v>45176</v>
      </c>
      <c r="C691" s="11">
        <v>36.61</v>
      </c>
      <c r="D691" s="43">
        <f t="shared" si="10"/>
        <v>-1.5137209356973538E-2</v>
      </c>
    </row>
    <row r="692" spans="2:4" x14ac:dyDescent="0.35">
      <c r="B692" s="10">
        <v>45175</v>
      </c>
      <c r="C692" s="11">
        <v>35.81</v>
      </c>
      <c r="D692" s="43">
        <f t="shared" si="10"/>
        <v>2.2094243121803404E-2</v>
      </c>
    </row>
    <row r="693" spans="2:4" x14ac:dyDescent="0.35">
      <c r="B693" s="10">
        <v>45174</v>
      </c>
      <c r="C693" s="11">
        <v>35.159999999999997</v>
      </c>
      <c r="D693" s="43">
        <f t="shared" si="10"/>
        <v>1.8318111193365155E-2</v>
      </c>
    </row>
    <row r="694" spans="2:4" x14ac:dyDescent="0.35">
      <c r="B694" s="10">
        <v>45170</v>
      </c>
      <c r="C694" s="11">
        <v>36</v>
      </c>
      <c r="D694" s="43">
        <f t="shared" si="10"/>
        <v>-2.3609865639133851E-2</v>
      </c>
    </row>
    <row r="695" spans="2:4" x14ac:dyDescent="0.35">
      <c r="B695" s="10">
        <v>45169</v>
      </c>
      <c r="C695" s="11">
        <v>34.94</v>
      </c>
      <c r="D695" s="43">
        <f t="shared" si="10"/>
        <v>2.9886633750199603E-2</v>
      </c>
    </row>
    <row r="696" spans="2:4" x14ac:dyDescent="0.35">
      <c r="B696" s="10">
        <v>45168</v>
      </c>
      <c r="C696" s="11">
        <v>35.22</v>
      </c>
      <c r="D696" s="43">
        <f t="shared" si="10"/>
        <v>-7.9817983621495812E-3</v>
      </c>
    </row>
    <row r="697" spans="2:4" x14ac:dyDescent="0.35">
      <c r="B697" s="10">
        <v>45167</v>
      </c>
      <c r="C697" s="11">
        <v>35.49</v>
      </c>
      <c r="D697" s="43">
        <f t="shared" si="10"/>
        <v>-7.6368635903451389E-3</v>
      </c>
    </row>
    <row r="698" spans="2:4" x14ac:dyDescent="0.35">
      <c r="B698" s="10">
        <v>45166</v>
      </c>
      <c r="C698" s="11">
        <v>35.880000000000003</v>
      </c>
      <c r="D698" s="43">
        <f t="shared" si="10"/>
        <v>-1.0929070532190317E-2</v>
      </c>
    </row>
    <row r="699" spans="2:4" x14ac:dyDescent="0.35">
      <c r="B699" s="10">
        <v>45163</v>
      </c>
      <c r="C699" s="11">
        <v>34.86</v>
      </c>
      <c r="D699" s="43">
        <f t="shared" si="10"/>
        <v>2.8839997098720614E-2</v>
      </c>
    </row>
    <row r="700" spans="2:4" x14ac:dyDescent="0.35">
      <c r="B700" s="10">
        <v>45162</v>
      </c>
      <c r="C700" s="11">
        <v>33.68</v>
      </c>
      <c r="D700" s="43">
        <f t="shared" si="10"/>
        <v>3.4435850717748941E-2</v>
      </c>
    </row>
    <row r="701" spans="2:4" x14ac:dyDescent="0.35">
      <c r="B701" s="10">
        <v>45161</v>
      </c>
      <c r="C701" s="11">
        <v>33.049999999999997</v>
      </c>
      <c r="D701" s="43">
        <f t="shared" si="10"/>
        <v>1.888262307643087E-2</v>
      </c>
    </row>
    <row r="702" spans="2:4" x14ac:dyDescent="0.35">
      <c r="B702" s="10">
        <v>45160</v>
      </c>
      <c r="C702" s="11">
        <v>33.36</v>
      </c>
      <c r="D702" s="43">
        <f t="shared" si="10"/>
        <v>-9.33601119285077E-3</v>
      </c>
    </row>
    <row r="703" spans="2:4" x14ac:dyDescent="0.35">
      <c r="B703" s="10">
        <v>45159</v>
      </c>
      <c r="C703" s="11">
        <v>32.94</v>
      </c>
      <c r="D703" s="43">
        <f t="shared" si="10"/>
        <v>1.2669852741051904E-2</v>
      </c>
    </row>
    <row r="704" spans="2:4" x14ac:dyDescent="0.35">
      <c r="B704" s="10">
        <v>45156</v>
      </c>
      <c r="C704" s="11">
        <v>32.44</v>
      </c>
      <c r="D704" s="43">
        <f t="shared" si="10"/>
        <v>1.5295495502281995E-2</v>
      </c>
    </row>
    <row r="705" spans="2:4" x14ac:dyDescent="0.35">
      <c r="B705" s="10">
        <v>45155</v>
      </c>
      <c r="C705" s="11">
        <v>31.88</v>
      </c>
      <c r="D705" s="43">
        <f t="shared" si="10"/>
        <v>1.7413375325197912E-2</v>
      </c>
    </row>
    <row r="706" spans="2:4" x14ac:dyDescent="0.35">
      <c r="B706" s="10">
        <v>45154</v>
      </c>
      <c r="C706" s="11">
        <v>33.17</v>
      </c>
      <c r="D706" s="43">
        <f t="shared" si="10"/>
        <v>-3.9666999036946878E-2</v>
      </c>
    </row>
    <row r="707" spans="2:4" x14ac:dyDescent="0.35">
      <c r="B707" s="10">
        <v>45153</v>
      </c>
      <c r="C707" s="11">
        <v>32.71</v>
      </c>
      <c r="D707" s="43">
        <f t="shared" si="10"/>
        <v>1.3965011408668612E-2</v>
      </c>
    </row>
    <row r="708" spans="2:4" x14ac:dyDescent="0.35">
      <c r="B708" s="10">
        <v>45152</v>
      </c>
      <c r="C708" s="11">
        <v>32.1</v>
      </c>
      <c r="D708" s="43">
        <f t="shared" ref="D708:D771" si="11">IFERROR(LN(C707/C708),"")</f>
        <v>1.8824811414322441E-2</v>
      </c>
    </row>
    <row r="709" spans="2:4" x14ac:dyDescent="0.35">
      <c r="B709" s="10">
        <v>45149</v>
      </c>
      <c r="C709" s="11">
        <v>32.75</v>
      </c>
      <c r="D709" s="43">
        <f t="shared" si="11"/>
        <v>-2.0046931945290756E-2</v>
      </c>
    </row>
    <row r="710" spans="2:4" x14ac:dyDescent="0.35">
      <c r="B710" s="10">
        <v>45148</v>
      </c>
      <c r="C710" s="11">
        <v>32.49</v>
      </c>
      <c r="D710" s="43">
        <f t="shared" si="11"/>
        <v>7.9706124002519151E-3</v>
      </c>
    </row>
    <row r="711" spans="2:4" x14ac:dyDescent="0.35">
      <c r="B711" s="10">
        <v>45147</v>
      </c>
      <c r="C711" s="11">
        <v>31.8</v>
      </c>
      <c r="D711" s="43">
        <f t="shared" si="11"/>
        <v>2.1466059894877723E-2</v>
      </c>
    </row>
    <row r="712" spans="2:4" x14ac:dyDescent="0.35">
      <c r="B712" s="10">
        <v>45146</v>
      </c>
      <c r="C712" s="11">
        <v>31.95</v>
      </c>
      <c r="D712" s="43">
        <f t="shared" si="11"/>
        <v>-4.7058910374126166E-3</v>
      </c>
    </row>
    <row r="713" spans="2:4" x14ac:dyDescent="0.35">
      <c r="B713" s="10">
        <v>45145</v>
      </c>
      <c r="C713" s="11">
        <v>31.35</v>
      </c>
      <c r="D713" s="43">
        <f t="shared" si="11"/>
        <v>1.8957913744613988E-2</v>
      </c>
    </row>
    <row r="714" spans="2:4" x14ac:dyDescent="0.35">
      <c r="B714" s="10">
        <v>45142</v>
      </c>
      <c r="C714" s="11">
        <v>33.19</v>
      </c>
      <c r="D714" s="43">
        <f t="shared" si="11"/>
        <v>-5.7034358652953469E-2</v>
      </c>
    </row>
    <row r="715" spans="2:4" x14ac:dyDescent="0.35">
      <c r="B715" s="10">
        <v>45141</v>
      </c>
      <c r="C715" s="11">
        <v>31.7</v>
      </c>
      <c r="D715" s="43">
        <f t="shared" si="11"/>
        <v>4.5931944848648334E-2</v>
      </c>
    </row>
    <row r="716" spans="2:4" x14ac:dyDescent="0.35">
      <c r="B716" s="10">
        <v>45140</v>
      </c>
      <c r="C716" s="11">
        <v>31.08</v>
      </c>
      <c r="D716" s="43">
        <f t="shared" si="11"/>
        <v>1.9752155383788165E-2</v>
      </c>
    </row>
    <row r="717" spans="2:4" x14ac:dyDescent="0.35">
      <c r="B717" s="10">
        <v>45139</v>
      </c>
      <c r="C717" s="11">
        <v>32.5</v>
      </c>
      <c r="D717" s="43">
        <f t="shared" si="11"/>
        <v>-4.4675563836245116E-2</v>
      </c>
    </row>
    <row r="718" spans="2:4" x14ac:dyDescent="0.35">
      <c r="B718" s="10">
        <v>45138</v>
      </c>
      <c r="C718" s="11">
        <v>33.35</v>
      </c>
      <c r="D718" s="43">
        <f t="shared" si="11"/>
        <v>-2.581768302594098E-2</v>
      </c>
    </row>
    <row r="719" spans="2:4" x14ac:dyDescent="0.35">
      <c r="B719" s="10">
        <v>45135</v>
      </c>
      <c r="C719" s="11">
        <v>33.25</v>
      </c>
      <c r="D719" s="43">
        <f t="shared" si="11"/>
        <v>3.0030052597695561E-3</v>
      </c>
    </row>
    <row r="720" spans="2:4" x14ac:dyDescent="0.35">
      <c r="B720" s="10">
        <v>45134</v>
      </c>
      <c r="C720" s="11">
        <v>32.229999999999997</v>
      </c>
      <c r="D720" s="43">
        <f t="shared" si="11"/>
        <v>3.1157071274516709E-2</v>
      </c>
    </row>
    <row r="721" spans="2:4" x14ac:dyDescent="0.35">
      <c r="B721" s="10">
        <v>45133</v>
      </c>
      <c r="C721" s="11">
        <v>32.4</v>
      </c>
      <c r="D721" s="43">
        <f t="shared" si="11"/>
        <v>-5.2607269709372866E-3</v>
      </c>
    </row>
    <row r="722" spans="2:4" x14ac:dyDescent="0.35">
      <c r="B722" s="10">
        <v>45132</v>
      </c>
      <c r="C722" s="11">
        <v>32.14</v>
      </c>
      <c r="D722" s="43">
        <f t="shared" si="11"/>
        <v>8.0570624889171709E-3</v>
      </c>
    </row>
    <row r="723" spans="2:4" x14ac:dyDescent="0.35">
      <c r="B723" s="10">
        <v>45131</v>
      </c>
      <c r="C723" s="11">
        <v>32.89</v>
      </c>
      <c r="D723" s="43">
        <f t="shared" si="11"/>
        <v>-2.3067299891599079E-2</v>
      </c>
    </row>
    <row r="724" spans="2:4" x14ac:dyDescent="0.35">
      <c r="B724" s="10">
        <v>45128</v>
      </c>
      <c r="C724" s="11">
        <v>32.72</v>
      </c>
      <c r="D724" s="43">
        <f t="shared" si="11"/>
        <v>5.1821484664193555E-3</v>
      </c>
    </row>
    <row r="725" spans="2:4" x14ac:dyDescent="0.35">
      <c r="B725" s="10">
        <v>45127</v>
      </c>
      <c r="C725" s="11">
        <v>32.4</v>
      </c>
      <c r="D725" s="43">
        <f t="shared" si="11"/>
        <v>9.8280889362626928E-3</v>
      </c>
    </row>
    <row r="726" spans="2:4" x14ac:dyDescent="0.35">
      <c r="B726" s="10">
        <v>45126</v>
      </c>
      <c r="C726" s="11">
        <v>33.619999999999997</v>
      </c>
      <c r="D726" s="43">
        <f t="shared" si="11"/>
        <v>-3.6962705182185793E-2</v>
      </c>
    </row>
    <row r="727" spans="2:4" x14ac:dyDescent="0.35">
      <c r="B727" s="10">
        <v>45125</v>
      </c>
      <c r="C727" s="11">
        <v>33.19</v>
      </c>
      <c r="D727" s="43">
        <f t="shared" si="11"/>
        <v>1.2872502248586212E-2</v>
      </c>
    </row>
    <row r="728" spans="2:4" x14ac:dyDescent="0.35">
      <c r="B728" s="10">
        <v>45124</v>
      </c>
      <c r="C728" s="11">
        <v>33.81</v>
      </c>
      <c r="D728" s="43">
        <f t="shared" si="11"/>
        <v>-1.8507990987911473E-2</v>
      </c>
    </row>
    <row r="729" spans="2:4" x14ac:dyDescent="0.35">
      <c r="B729" s="10">
        <v>45121</v>
      </c>
      <c r="C729" s="11">
        <v>34.93</v>
      </c>
      <c r="D729" s="43">
        <f t="shared" si="11"/>
        <v>-3.2589442098945896E-2</v>
      </c>
    </row>
    <row r="730" spans="2:4" x14ac:dyDescent="0.35">
      <c r="B730" s="10">
        <v>45120</v>
      </c>
      <c r="C730" s="11">
        <v>35.5</v>
      </c>
      <c r="D730" s="43">
        <f t="shared" si="11"/>
        <v>-1.6186637662629465E-2</v>
      </c>
    </row>
    <row r="731" spans="2:4" x14ac:dyDescent="0.35">
      <c r="B731" s="10">
        <v>45119</v>
      </c>
      <c r="C731" s="11">
        <v>35.29</v>
      </c>
      <c r="D731" s="43">
        <f t="shared" si="11"/>
        <v>5.9330587941913331E-3</v>
      </c>
    </row>
    <row r="732" spans="2:4" x14ac:dyDescent="0.35">
      <c r="B732" s="10">
        <v>45118</v>
      </c>
      <c r="C732" s="11">
        <v>35.130000000000003</v>
      </c>
      <c r="D732" s="43">
        <f t="shared" si="11"/>
        <v>4.5441714094428464E-3</v>
      </c>
    </row>
    <row r="733" spans="2:4" x14ac:dyDescent="0.35">
      <c r="B733" s="10">
        <v>45117</v>
      </c>
      <c r="C733" s="11">
        <v>35.85</v>
      </c>
      <c r="D733" s="43">
        <f t="shared" si="11"/>
        <v>-2.0288100767893686E-2</v>
      </c>
    </row>
    <row r="734" spans="2:4" x14ac:dyDescent="0.35">
      <c r="B734" s="10">
        <v>45114</v>
      </c>
      <c r="C734" s="11">
        <v>34.71</v>
      </c>
      <c r="D734" s="43">
        <f t="shared" si="11"/>
        <v>3.2315737171934429E-2</v>
      </c>
    </row>
    <row r="735" spans="2:4" x14ac:dyDescent="0.35">
      <c r="B735" s="10">
        <v>45113</v>
      </c>
      <c r="C735" s="11">
        <v>33.630000000000003</v>
      </c>
      <c r="D735" s="43">
        <f t="shared" si="11"/>
        <v>3.1609304121516718E-2</v>
      </c>
    </row>
    <row r="736" spans="2:4" x14ac:dyDescent="0.35">
      <c r="B736" s="10">
        <v>45112</v>
      </c>
      <c r="C736" s="11">
        <v>33.39</v>
      </c>
      <c r="D736" s="43">
        <f t="shared" si="11"/>
        <v>7.1620717966152042E-3</v>
      </c>
    </row>
    <row r="737" spans="2:4" x14ac:dyDescent="0.35">
      <c r="B737" s="10">
        <v>45110</v>
      </c>
      <c r="C737" s="11">
        <v>33.36</v>
      </c>
      <c r="D737" s="43">
        <f t="shared" si="11"/>
        <v>8.9887646501725057E-4</v>
      </c>
    </row>
    <row r="738" spans="2:4" x14ac:dyDescent="0.35">
      <c r="B738" s="10">
        <v>45107</v>
      </c>
      <c r="C738" s="11">
        <v>32.619999999999997</v>
      </c>
      <c r="D738" s="43">
        <f t="shared" si="11"/>
        <v>2.2431980297678365E-2</v>
      </c>
    </row>
    <row r="739" spans="2:4" x14ac:dyDescent="0.35">
      <c r="B739" s="10">
        <v>45106</v>
      </c>
      <c r="C739" s="11">
        <v>32.75</v>
      </c>
      <c r="D739" s="43">
        <f t="shared" si="11"/>
        <v>-3.9773648883931825E-3</v>
      </c>
    </row>
    <row r="740" spans="2:4" x14ac:dyDescent="0.35">
      <c r="B740" s="10">
        <v>45105</v>
      </c>
      <c r="C740" s="11">
        <v>33.5</v>
      </c>
      <c r="D740" s="43">
        <f t="shared" si="11"/>
        <v>-2.2642476749759777E-2</v>
      </c>
    </row>
    <row r="741" spans="2:4" x14ac:dyDescent="0.35">
      <c r="B741" s="10">
        <v>45104</v>
      </c>
      <c r="C741" s="11">
        <v>33.75</v>
      </c>
      <c r="D741" s="43">
        <f t="shared" si="11"/>
        <v>-7.4349784875180902E-3</v>
      </c>
    </row>
    <row r="742" spans="2:4" x14ac:dyDescent="0.35">
      <c r="B742" s="10">
        <v>45103</v>
      </c>
      <c r="C742" s="11">
        <v>32.94</v>
      </c>
      <c r="D742" s="43">
        <f t="shared" si="11"/>
        <v>2.4292692569044701E-2</v>
      </c>
    </row>
    <row r="743" spans="2:4" x14ac:dyDescent="0.35">
      <c r="B743" s="10">
        <v>45100</v>
      </c>
      <c r="C743" s="11">
        <v>35.22</v>
      </c>
      <c r="D743" s="43">
        <f t="shared" si="11"/>
        <v>-6.6926378318565877E-2</v>
      </c>
    </row>
    <row r="744" spans="2:4" x14ac:dyDescent="0.35">
      <c r="B744" s="10">
        <v>45099</v>
      </c>
      <c r="C744" s="11">
        <v>37.22</v>
      </c>
      <c r="D744" s="43">
        <f t="shared" si="11"/>
        <v>-5.5232148146044623E-2</v>
      </c>
    </row>
    <row r="745" spans="2:4" x14ac:dyDescent="0.35">
      <c r="B745" s="10">
        <v>45098</v>
      </c>
      <c r="C745" s="11">
        <v>36.119999999999997</v>
      </c>
      <c r="D745" s="43">
        <f t="shared" si="11"/>
        <v>2.9999522665319987E-2</v>
      </c>
    </row>
    <row r="746" spans="2:4" x14ac:dyDescent="0.35">
      <c r="B746" s="10">
        <v>45097</v>
      </c>
      <c r="C746" s="11">
        <v>35.659999999999997</v>
      </c>
      <c r="D746" s="43">
        <f t="shared" si="11"/>
        <v>1.2817116113790397E-2</v>
      </c>
    </row>
    <row r="747" spans="2:4" x14ac:dyDescent="0.35">
      <c r="B747" s="10">
        <v>45093</v>
      </c>
      <c r="C747" s="11">
        <v>34.840000000000003</v>
      </c>
      <c r="D747" s="43">
        <f t="shared" si="11"/>
        <v>2.3263460450692129E-2</v>
      </c>
    </row>
    <row r="748" spans="2:4" x14ac:dyDescent="0.35">
      <c r="B748" s="10">
        <v>45092</v>
      </c>
      <c r="C748" s="11">
        <v>35.44</v>
      </c>
      <c r="D748" s="43">
        <f t="shared" si="11"/>
        <v>-1.7074973752578007E-2</v>
      </c>
    </row>
    <row r="749" spans="2:4" x14ac:dyDescent="0.35">
      <c r="B749" s="10">
        <v>45091</v>
      </c>
      <c r="C749" s="11">
        <v>35.01</v>
      </c>
      <c r="D749" s="43">
        <f t="shared" si="11"/>
        <v>1.2207390770305949E-2</v>
      </c>
    </row>
    <row r="750" spans="2:4" x14ac:dyDescent="0.35">
      <c r="B750" s="10">
        <v>45090</v>
      </c>
      <c r="C750" s="11">
        <v>36.340000000000003</v>
      </c>
      <c r="D750" s="43">
        <f t="shared" si="11"/>
        <v>-3.7285328001450915E-2</v>
      </c>
    </row>
    <row r="751" spans="2:4" x14ac:dyDescent="0.35">
      <c r="B751" s="10">
        <v>45089</v>
      </c>
      <c r="C751" s="11">
        <v>35.96</v>
      </c>
      <c r="D751" s="43">
        <f t="shared" si="11"/>
        <v>1.0511853364605677E-2</v>
      </c>
    </row>
    <row r="752" spans="2:4" x14ac:dyDescent="0.35">
      <c r="B752" s="10">
        <v>45086</v>
      </c>
      <c r="C752" s="11">
        <v>37.03</v>
      </c>
      <c r="D752" s="43">
        <f t="shared" si="11"/>
        <v>-2.93211853221018E-2</v>
      </c>
    </row>
    <row r="753" spans="2:4" x14ac:dyDescent="0.35">
      <c r="B753" s="10">
        <v>45085</v>
      </c>
      <c r="C753" s="11">
        <v>38.06</v>
      </c>
      <c r="D753" s="43">
        <f t="shared" si="11"/>
        <v>-2.7435466942482192E-2</v>
      </c>
    </row>
    <row r="754" spans="2:4" x14ac:dyDescent="0.35">
      <c r="B754" s="10">
        <v>45084</v>
      </c>
      <c r="C754" s="11">
        <v>38.729999999999997</v>
      </c>
      <c r="D754" s="43">
        <f t="shared" si="11"/>
        <v>-1.7450631658657206E-2</v>
      </c>
    </row>
    <row r="755" spans="2:4" x14ac:dyDescent="0.35">
      <c r="B755" s="10">
        <v>45083</v>
      </c>
      <c r="C755" s="11">
        <v>37.729999999999997</v>
      </c>
      <c r="D755" s="43">
        <f t="shared" si="11"/>
        <v>2.6158959550441719E-2</v>
      </c>
    </row>
    <row r="756" spans="2:4" x14ac:dyDescent="0.35">
      <c r="B756" s="10">
        <v>45082</v>
      </c>
      <c r="C756" s="11">
        <v>38</v>
      </c>
      <c r="D756" s="43">
        <f t="shared" si="11"/>
        <v>-7.1306257501667783E-3</v>
      </c>
    </row>
    <row r="757" spans="2:4" x14ac:dyDescent="0.35">
      <c r="B757" s="10">
        <v>45079</v>
      </c>
      <c r="C757" s="11">
        <v>38.630000000000003</v>
      </c>
      <c r="D757" s="43">
        <f t="shared" si="11"/>
        <v>-1.6443016951804192E-2</v>
      </c>
    </row>
    <row r="758" spans="2:4" x14ac:dyDescent="0.35">
      <c r="B758" s="10">
        <v>45078</v>
      </c>
      <c r="C758" s="11">
        <v>37.96</v>
      </c>
      <c r="D758" s="43">
        <f t="shared" si="11"/>
        <v>1.7496202936462882E-2</v>
      </c>
    </row>
    <row r="759" spans="2:4" x14ac:dyDescent="0.35">
      <c r="B759" s="10">
        <v>45077</v>
      </c>
      <c r="C759" s="11">
        <v>37.69</v>
      </c>
      <c r="D759" s="43">
        <f t="shared" si="11"/>
        <v>7.1381664626830573E-3</v>
      </c>
    </row>
    <row r="760" spans="2:4" x14ac:dyDescent="0.35">
      <c r="B760" s="10">
        <v>45076</v>
      </c>
      <c r="C760" s="11">
        <v>37.96</v>
      </c>
      <c r="D760" s="43">
        <f t="shared" si="11"/>
        <v>-7.1381664626831336E-3</v>
      </c>
    </row>
    <row r="761" spans="2:4" x14ac:dyDescent="0.35">
      <c r="B761" s="10">
        <v>45072</v>
      </c>
      <c r="C761" s="11">
        <v>37.36</v>
      </c>
      <c r="D761" s="43">
        <f t="shared" si="11"/>
        <v>1.5932360381085364E-2</v>
      </c>
    </row>
    <row r="762" spans="2:4" x14ac:dyDescent="0.35">
      <c r="B762" s="10">
        <v>45071</v>
      </c>
      <c r="C762" s="11">
        <v>37.54</v>
      </c>
      <c r="D762" s="43">
        <f t="shared" si="11"/>
        <v>-4.8064177977208671E-3</v>
      </c>
    </row>
    <row r="763" spans="2:4" x14ac:dyDescent="0.35">
      <c r="B763" s="10">
        <v>45070</v>
      </c>
      <c r="C763" s="11">
        <v>38.14</v>
      </c>
      <c r="D763" s="43">
        <f t="shared" si="11"/>
        <v>-1.5856569013910311E-2</v>
      </c>
    </row>
    <row r="764" spans="2:4" x14ac:dyDescent="0.35">
      <c r="B764" s="10">
        <v>45069</v>
      </c>
      <c r="C764" s="11">
        <v>39.01</v>
      </c>
      <c r="D764" s="43">
        <f t="shared" si="11"/>
        <v>-2.2554423346292037E-2</v>
      </c>
    </row>
    <row r="765" spans="2:4" x14ac:dyDescent="0.35">
      <c r="B765" s="10">
        <v>45068</v>
      </c>
      <c r="C765" s="11">
        <v>40.75</v>
      </c>
      <c r="D765" s="43">
        <f t="shared" si="11"/>
        <v>-4.3637816168306573E-2</v>
      </c>
    </row>
    <row r="766" spans="2:4" x14ac:dyDescent="0.35">
      <c r="B766" s="10">
        <v>45065</v>
      </c>
      <c r="C766" s="11">
        <v>38.979999999999997</v>
      </c>
      <c r="D766" s="43">
        <f t="shared" si="11"/>
        <v>4.4407145607457135E-2</v>
      </c>
    </row>
    <row r="767" spans="2:4" x14ac:dyDescent="0.35">
      <c r="B767" s="10">
        <v>45064</v>
      </c>
      <c r="C767" s="11">
        <v>37.58</v>
      </c>
      <c r="D767" s="43">
        <f t="shared" si="11"/>
        <v>3.6576700094095457E-2</v>
      </c>
    </row>
    <row r="768" spans="2:4" x14ac:dyDescent="0.35">
      <c r="B768" s="10">
        <v>45063</v>
      </c>
      <c r="C768" s="11">
        <v>37.81</v>
      </c>
      <c r="D768" s="43">
        <f t="shared" si="11"/>
        <v>-6.1016239175223277E-3</v>
      </c>
    </row>
    <row r="769" spans="2:4" x14ac:dyDescent="0.35">
      <c r="B769" s="10">
        <v>45062</v>
      </c>
      <c r="C769" s="11">
        <v>37.229999999999997</v>
      </c>
      <c r="D769" s="43">
        <f t="shared" si="11"/>
        <v>1.5458730018216089E-2</v>
      </c>
    </row>
    <row r="770" spans="2:4" x14ac:dyDescent="0.35">
      <c r="B770" s="10">
        <v>45061</v>
      </c>
      <c r="C770" s="11">
        <v>38.950000000000003</v>
      </c>
      <c r="D770" s="43">
        <f t="shared" si="11"/>
        <v>-4.5163884432131866E-2</v>
      </c>
    </row>
    <row r="771" spans="2:4" x14ac:dyDescent="0.35">
      <c r="B771" s="10">
        <v>45058</v>
      </c>
      <c r="C771" s="11">
        <v>37.64</v>
      </c>
      <c r="D771" s="43">
        <f t="shared" si="11"/>
        <v>3.4211457599578492E-2</v>
      </c>
    </row>
    <row r="772" spans="2:4" x14ac:dyDescent="0.35">
      <c r="B772" s="10">
        <v>45057</v>
      </c>
      <c r="C772" s="11">
        <v>37.83</v>
      </c>
      <c r="D772" s="43">
        <f t="shared" ref="D772:D835" si="12">IFERROR(LN(C771/C772),"")</f>
        <v>-5.035123927758978E-3</v>
      </c>
    </row>
    <row r="773" spans="2:4" x14ac:dyDescent="0.35">
      <c r="B773" s="10">
        <v>45056</v>
      </c>
      <c r="C773" s="11">
        <v>39.229999999999997</v>
      </c>
      <c r="D773" s="43">
        <f t="shared" si="12"/>
        <v>-3.6339321576523323E-2</v>
      </c>
    </row>
    <row r="774" spans="2:4" x14ac:dyDescent="0.35">
      <c r="B774" s="10">
        <v>45055</v>
      </c>
      <c r="C774" s="11">
        <v>38.840000000000003</v>
      </c>
      <c r="D774" s="43">
        <f t="shared" si="12"/>
        <v>9.9911167983369499E-3</v>
      </c>
    </row>
    <row r="775" spans="2:4" x14ac:dyDescent="0.35">
      <c r="B775" s="10">
        <v>45054</v>
      </c>
      <c r="C775" s="11">
        <v>38.409999999999997</v>
      </c>
      <c r="D775" s="43">
        <f t="shared" si="12"/>
        <v>1.1132801065310949E-2</v>
      </c>
    </row>
    <row r="776" spans="2:4" x14ac:dyDescent="0.35">
      <c r="B776" s="10">
        <v>45051</v>
      </c>
      <c r="C776" s="11">
        <v>39.44</v>
      </c>
      <c r="D776" s="43">
        <f t="shared" si="12"/>
        <v>-2.6462687376621299E-2</v>
      </c>
    </row>
    <row r="777" spans="2:4" x14ac:dyDescent="0.35">
      <c r="B777" s="10">
        <v>45050</v>
      </c>
      <c r="C777" s="11">
        <v>39.29</v>
      </c>
      <c r="D777" s="43">
        <f t="shared" si="12"/>
        <v>3.8104961640662034E-3</v>
      </c>
    </row>
    <row r="778" spans="2:4" x14ac:dyDescent="0.35">
      <c r="B778" s="10">
        <v>45049</v>
      </c>
      <c r="C778" s="11">
        <v>39.340000000000003</v>
      </c>
      <c r="D778" s="43">
        <f t="shared" si="12"/>
        <v>-1.2717793905447146E-3</v>
      </c>
    </row>
    <row r="779" spans="2:4" x14ac:dyDescent="0.35">
      <c r="B779" s="10">
        <v>45048</v>
      </c>
      <c r="C779" s="11">
        <v>37.31</v>
      </c>
      <c r="D779" s="43">
        <f t="shared" si="12"/>
        <v>5.2980425727846517E-2</v>
      </c>
    </row>
    <row r="780" spans="2:4" x14ac:dyDescent="0.35">
      <c r="B780" s="10">
        <v>45047</v>
      </c>
      <c r="C780" s="11">
        <v>37.770000000000003</v>
      </c>
      <c r="D780" s="43">
        <f t="shared" si="12"/>
        <v>-1.2253749491299081E-2</v>
      </c>
    </row>
    <row r="781" spans="2:4" x14ac:dyDescent="0.35">
      <c r="B781" s="10">
        <v>45044</v>
      </c>
      <c r="C781" s="11">
        <v>37.4</v>
      </c>
      <c r="D781" s="43">
        <f t="shared" si="12"/>
        <v>9.8444323038793455E-3</v>
      </c>
    </row>
    <row r="782" spans="2:4" x14ac:dyDescent="0.35">
      <c r="B782" s="10">
        <v>45043</v>
      </c>
      <c r="C782" s="11">
        <v>37.86</v>
      </c>
      <c r="D782" s="43">
        <f t="shared" si="12"/>
        <v>-1.2224441360690565E-2</v>
      </c>
    </row>
    <row r="783" spans="2:4" x14ac:dyDescent="0.35">
      <c r="B783" s="10">
        <v>45042</v>
      </c>
      <c r="C783" s="11">
        <v>37.14</v>
      </c>
      <c r="D783" s="43">
        <f t="shared" si="12"/>
        <v>1.9200589856616934E-2</v>
      </c>
    </row>
    <row r="784" spans="2:4" x14ac:dyDescent="0.35">
      <c r="B784" s="10">
        <v>45041</v>
      </c>
      <c r="C784" s="11">
        <v>37.86</v>
      </c>
      <c r="D784" s="43">
        <f t="shared" si="12"/>
        <v>-1.9200589856617069E-2</v>
      </c>
    </row>
    <row r="785" spans="2:4" x14ac:dyDescent="0.35">
      <c r="B785" s="10">
        <v>45040</v>
      </c>
      <c r="C785" s="11">
        <v>38.32</v>
      </c>
      <c r="D785" s="43">
        <f t="shared" si="12"/>
        <v>-1.2076807321483021E-2</v>
      </c>
    </row>
    <row r="786" spans="2:4" x14ac:dyDescent="0.35">
      <c r="B786" s="10">
        <v>45037</v>
      </c>
      <c r="C786" s="11">
        <v>38.340000000000003</v>
      </c>
      <c r="D786" s="43">
        <f t="shared" si="12"/>
        <v>-5.2178451483868608E-4</v>
      </c>
    </row>
    <row r="787" spans="2:4" x14ac:dyDescent="0.35">
      <c r="B787" s="10">
        <v>45036</v>
      </c>
      <c r="C787" s="11">
        <v>36.590000000000003</v>
      </c>
      <c r="D787" s="43">
        <f t="shared" si="12"/>
        <v>4.6718758586383011E-2</v>
      </c>
    </row>
    <row r="788" spans="2:4" x14ac:dyDescent="0.35">
      <c r="B788" s="10">
        <v>45035</v>
      </c>
      <c r="C788" s="11">
        <v>37.93</v>
      </c>
      <c r="D788" s="43">
        <f t="shared" si="12"/>
        <v>-3.5967376669692033E-2</v>
      </c>
    </row>
    <row r="789" spans="2:4" x14ac:dyDescent="0.35">
      <c r="B789" s="10">
        <v>45034</v>
      </c>
      <c r="C789" s="11">
        <v>36.799999999999997</v>
      </c>
      <c r="D789" s="43">
        <f t="shared" si="12"/>
        <v>3.0244510525922353E-2</v>
      </c>
    </row>
    <row r="790" spans="2:4" x14ac:dyDescent="0.35">
      <c r="B790" s="10">
        <v>45033</v>
      </c>
      <c r="C790" s="11">
        <v>36.409999999999997</v>
      </c>
      <c r="D790" s="43">
        <f t="shared" si="12"/>
        <v>1.0654382987543249E-2</v>
      </c>
    </row>
    <row r="791" spans="2:4" x14ac:dyDescent="0.35">
      <c r="B791" s="10">
        <v>45030</v>
      </c>
      <c r="C791" s="11">
        <v>34.78</v>
      </c>
      <c r="D791" s="43">
        <f t="shared" si="12"/>
        <v>4.5800953261205077E-2</v>
      </c>
    </row>
    <row r="792" spans="2:4" x14ac:dyDescent="0.35">
      <c r="B792" s="10">
        <v>45029</v>
      </c>
      <c r="C792" s="11">
        <v>35.93</v>
      </c>
      <c r="D792" s="43">
        <f t="shared" si="12"/>
        <v>-3.2530092199290352E-2</v>
      </c>
    </row>
    <row r="793" spans="2:4" x14ac:dyDescent="0.35">
      <c r="B793" s="10">
        <v>45028</v>
      </c>
      <c r="C793" s="11">
        <v>34.049999999999997</v>
      </c>
      <c r="D793" s="43">
        <f t="shared" si="12"/>
        <v>5.3742568529906061E-2</v>
      </c>
    </row>
    <row r="794" spans="2:4" x14ac:dyDescent="0.35">
      <c r="B794" s="10">
        <v>45027</v>
      </c>
      <c r="C794" s="11">
        <v>35.299999999999997</v>
      </c>
      <c r="D794" s="43">
        <f t="shared" si="12"/>
        <v>-3.6052931343729729E-2</v>
      </c>
    </row>
    <row r="795" spans="2:4" x14ac:dyDescent="0.35">
      <c r="B795" s="10">
        <v>45026</v>
      </c>
      <c r="C795" s="11">
        <v>34.99</v>
      </c>
      <c r="D795" s="43">
        <f t="shared" si="12"/>
        <v>8.8206575596543046E-3</v>
      </c>
    </row>
    <row r="796" spans="2:4" x14ac:dyDescent="0.35">
      <c r="B796" s="10">
        <v>45022</v>
      </c>
      <c r="C796" s="11">
        <v>36.42</v>
      </c>
      <c r="D796" s="43">
        <f t="shared" si="12"/>
        <v>-4.005576791986519E-2</v>
      </c>
    </row>
    <row r="797" spans="2:4" x14ac:dyDescent="0.35">
      <c r="B797" s="10">
        <v>45021</v>
      </c>
      <c r="C797" s="11">
        <v>36.159999999999997</v>
      </c>
      <c r="D797" s="43">
        <f t="shared" si="12"/>
        <v>7.1645387754862271E-3</v>
      </c>
    </row>
    <row r="798" spans="2:4" x14ac:dyDescent="0.35">
      <c r="B798" s="10">
        <v>45020</v>
      </c>
      <c r="C798" s="11">
        <v>36.33</v>
      </c>
      <c r="D798" s="43">
        <f t="shared" si="12"/>
        <v>-4.6903107091348867E-3</v>
      </c>
    </row>
    <row r="799" spans="2:4" x14ac:dyDescent="0.35">
      <c r="B799" s="10">
        <v>45019</v>
      </c>
      <c r="C799" s="11">
        <v>37.71</v>
      </c>
      <c r="D799" s="43">
        <f t="shared" si="12"/>
        <v>-3.7281465037155265E-2</v>
      </c>
    </row>
    <row r="800" spans="2:4" x14ac:dyDescent="0.35">
      <c r="B800" s="10">
        <v>45016</v>
      </c>
      <c r="C800" s="11">
        <v>35.19</v>
      </c>
      <c r="D800" s="43">
        <f t="shared" si="12"/>
        <v>6.916335993677207E-2</v>
      </c>
    </row>
    <row r="801" spans="2:4" x14ac:dyDescent="0.35">
      <c r="B801" s="10">
        <v>45015</v>
      </c>
      <c r="C801" s="11">
        <v>34.21</v>
      </c>
      <c r="D801" s="43">
        <f t="shared" si="12"/>
        <v>2.8243952343980434E-2</v>
      </c>
    </row>
    <row r="802" spans="2:4" x14ac:dyDescent="0.35">
      <c r="B802" s="10">
        <v>45014</v>
      </c>
      <c r="C802" s="11">
        <v>35.25</v>
      </c>
      <c r="D802" s="43">
        <f t="shared" si="12"/>
        <v>-2.9947530268764302E-2</v>
      </c>
    </row>
    <row r="803" spans="2:4" x14ac:dyDescent="0.35">
      <c r="B803" s="10">
        <v>45013</v>
      </c>
      <c r="C803" s="11">
        <v>34.979999999999997</v>
      </c>
      <c r="D803" s="43">
        <f t="shared" si="12"/>
        <v>7.6890596678218367E-3</v>
      </c>
    </row>
    <row r="804" spans="2:4" x14ac:dyDescent="0.35">
      <c r="B804" s="10">
        <v>45012</v>
      </c>
      <c r="C804" s="11">
        <v>34.53</v>
      </c>
      <c r="D804" s="43">
        <f t="shared" si="12"/>
        <v>1.294795818855495E-2</v>
      </c>
    </row>
    <row r="805" spans="2:4" x14ac:dyDescent="0.35">
      <c r="B805" s="10">
        <v>45009</v>
      </c>
      <c r="C805" s="11">
        <v>33.36</v>
      </c>
      <c r="D805" s="43">
        <f t="shared" si="12"/>
        <v>3.447093391135507E-2</v>
      </c>
    </row>
    <row r="806" spans="2:4" x14ac:dyDescent="0.35">
      <c r="B806" s="10">
        <v>45008</v>
      </c>
      <c r="C806" s="11">
        <v>33.630000000000003</v>
      </c>
      <c r="D806" s="43">
        <f t="shared" si="12"/>
        <v>-8.0609482616323513E-3</v>
      </c>
    </row>
    <row r="807" spans="2:4" x14ac:dyDescent="0.35">
      <c r="B807" s="10">
        <v>45007</v>
      </c>
      <c r="C807" s="11">
        <v>34.369999999999997</v>
      </c>
      <c r="D807" s="43">
        <f t="shared" si="12"/>
        <v>-2.1765565109564178E-2</v>
      </c>
    </row>
    <row r="808" spans="2:4" x14ac:dyDescent="0.35">
      <c r="B808" s="10">
        <v>45006</v>
      </c>
      <c r="C808" s="11">
        <v>36.18</v>
      </c>
      <c r="D808" s="43">
        <f t="shared" si="12"/>
        <v>-5.132238910540661E-2</v>
      </c>
    </row>
    <row r="809" spans="2:4" x14ac:dyDescent="0.35">
      <c r="B809" s="10">
        <v>45005</v>
      </c>
      <c r="C809" s="11">
        <v>35.200000000000003</v>
      </c>
      <c r="D809" s="43">
        <f t="shared" si="12"/>
        <v>2.7460397363097661E-2</v>
      </c>
    </row>
    <row r="810" spans="2:4" x14ac:dyDescent="0.35">
      <c r="B810" s="10">
        <v>45002</v>
      </c>
      <c r="C810" s="11">
        <v>35.33</v>
      </c>
      <c r="D810" s="43">
        <f t="shared" si="12"/>
        <v>-3.6863787670022678E-3</v>
      </c>
    </row>
    <row r="811" spans="2:4" x14ac:dyDescent="0.35">
      <c r="B811" s="10">
        <v>45001</v>
      </c>
      <c r="C811" s="11">
        <v>37.06</v>
      </c>
      <c r="D811" s="43">
        <f t="shared" si="12"/>
        <v>-4.7805759486160011E-2</v>
      </c>
    </row>
    <row r="812" spans="2:4" x14ac:dyDescent="0.35">
      <c r="B812" s="10">
        <v>45000</v>
      </c>
      <c r="C812" s="11">
        <v>37.270000000000003</v>
      </c>
      <c r="D812" s="43">
        <f t="shared" si="12"/>
        <v>-5.6504926339533395E-3</v>
      </c>
    </row>
    <row r="813" spans="2:4" x14ac:dyDescent="0.35">
      <c r="B813" s="10">
        <v>44999</v>
      </c>
      <c r="C813" s="11">
        <v>37.76</v>
      </c>
      <c r="D813" s="43">
        <f t="shared" si="12"/>
        <v>-1.3061627786132759E-2</v>
      </c>
    </row>
    <row r="814" spans="2:4" x14ac:dyDescent="0.35">
      <c r="B814" s="10">
        <v>44998</v>
      </c>
      <c r="C814" s="11">
        <v>37.270000000000003</v>
      </c>
      <c r="D814" s="43">
        <f t="shared" si="12"/>
        <v>1.3061627786132856E-2</v>
      </c>
    </row>
    <row r="815" spans="2:4" x14ac:dyDescent="0.35">
      <c r="B815" s="10">
        <v>44995</v>
      </c>
      <c r="C815" s="11">
        <v>35.6</v>
      </c>
      <c r="D815" s="43">
        <f t="shared" si="12"/>
        <v>4.5843075633182268E-2</v>
      </c>
    </row>
    <row r="816" spans="2:4" x14ac:dyDescent="0.35">
      <c r="B816" s="10">
        <v>44994</v>
      </c>
      <c r="C816" s="11">
        <v>36.86</v>
      </c>
      <c r="D816" s="43">
        <f t="shared" si="12"/>
        <v>-3.4781314383692377E-2</v>
      </c>
    </row>
    <row r="817" spans="2:4" x14ac:dyDescent="0.35">
      <c r="B817" s="10">
        <v>44993</v>
      </c>
      <c r="C817" s="11">
        <v>39.24</v>
      </c>
      <c r="D817" s="43">
        <f t="shared" si="12"/>
        <v>-6.2569682455485137E-2</v>
      </c>
    </row>
    <row r="818" spans="2:4" x14ac:dyDescent="0.35">
      <c r="B818" s="10">
        <v>44992</v>
      </c>
      <c r="C818" s="11">
        <v>40.11</v>
      </c>
      <c r="D818" s="43">
        <f t="shared" si="12"/>
        <v>-2.1929045084799054E-2</v>
      </c>
    </row>
    <row r="819" spans="2:4" x14ac:dyDescent="0.35">
      <c r="B819" s="10">
        <v>44991</v>
      </c>
      <c r="C819" s="11">
        <v>39.130000000000003</v>
      </c>
      <c r="D819" s="43">
        <f t="shared" si="12"/>
        <v>2.4736243559640349E-2</v>
      </c>
    </row>
    <row r="820" spans="2:4" x14ac:dyDescent="0.35">
      <c r="B820" s="10">
        <v>44988</v>
      </c>
      <c r="C820" s="11">
        <v>41.95</v>
      </c>
      <c r="D820" s="43">
        <f t="shared" si="12"/>
        <v>-6.9588996690894037E-2</v>
      </c>
    </row>
    <row r="821" spans="2:4" x14ac:dyDescent="0.35">
      <c r="B821" s="10">
        <v>44987</v>
      </c>
      <c r="C821" s="11">
        <v>39.6</v>
      </c>
      <c r="D821" s="43">
        <f t="shared" si="12"/>
        <v>5.7649314652780448E-2</v>
      </c>
    </row>
    <row r="822" spans="2:4" x14ac:dyDescent="0.35">
      <c r="B822" s="10">
        <v>44986</v>
      </c>
      <c r="C822" s="11">
        <v>43.11</v>
      </c>
      <c r="D822" s="43">
        <f t="shared" si="12"/>
        <v>-8.492587049860828E-2</v>
      </c>
    </row>
    <row r="823" spans="2:4" x14ac:dyDescent="0.35">
      <c r="B823" s="10">
        <v>44985</v>
      </c>
      <c r="C823" s="11">
        <v>43.36</v>
      </c>
      <c r="D823" s="43">
        <f t="shared" si="12"/>
        <v>-5.7823683723474831E-3</v>
      </c>
    </row>
    <row r="824" spans="2:4" x14ac:dyDescent="0.35">
      <c r="B824" s="10">
        <v>44984</v>
      </c>
      <c r="C824" s="11">
        <v>42.98</v>
      </c>
      <c r="D824" s="43">
        <f t="shared" si="12"/>
        <v>8.8024659170263427E-3</v>
      </c>
    </row>
    <row r="825" spans="2:4" x14ac:dyDescent="0.35">
      <c r="B825" s="10">
        <v>44981</v>
      </c>
      <c r="C825" s="11">
        <v>42.81</v>
      </c>
      <c r="D825" s="43">
        <f t="shared" si="12"/>
        <v>3.9631710575095246E-3</v>
      </c>
    </row>
    <row r="826" spans="2:4" x14ac:dyDescent="0.35">
      <c r="B826" s="10">
        <v>44980</v>
      </c>
      <c r="C826" s="11">
        <v>43.09</v>
      </c>
      <c r="D826" s="43">
        <f t="shared" si="12"/>
        <v>-6.5192314708918866E-3</v>
      </c>
    </row>
    <row r="827" spans="2:4" x14ac:dyDescent="0.35">
      <c r="B827" s="10">
        <v>44979</v>
      </c>
      <c r="C827" s="11">
        <v>41.74</v>
      </c>
      <c r="D827" s="43">
        <f t="shared" si="12"/>
        <v>3.1831049978692072E-2</v>
      </c>
    </row>
    <row r="828" spans="2:4" x14ac:dyDescent="0.35">
      <c r="B828" s="10">
        <v>44978</v>
      </c>
      <c r="C828" s="11">
        <v>42.04</v>
      </c>
      <c r="D828" s="43">
        <f t="shared" si="12"/>
        <v>-7.1616443596956188E-3</v>
      </c>
    </row>
    <row r="829" spans="2:4" x14ac:dyDescent="0.35">
      <c r="B829" s="10">
        <v>44974</v>
      </c>
      <c r="C829" s="11">
        <v>45.71</v>
      </c>
      <c r="D829" s="43">
        <f t="shared" si="12"/>
        <v>-8.3695546334902698E-2</v>
      </c>
    </row>
    <row r="830" spans="2:4" x14ac:dyDescent="0.35">
      <c r="B830" s="10">
        <v>44973</v>
      </c>
      <c r="C830" s="11">
        <v>44.13</v>
      </c>
      <c r="D830" s="43">
        <f t="shared" si="12"/>
        <v>3.5177269062197099E-2</v>
      </c>
    </row>
    <row r="831" spans="2:4" x14ac:dyDescent="0.35">
      <c r="B831" s="10">
        <v>44972</v>
      </c>
      <c r="C831" s="11">
        <v>42.87</v>
      </c>
      <c r="D831" s="43">
        <f t="shared" si="12"/>
        <v>2.8967542671570132E-2</v>
      </c>
    </row>
    <row r="832" spans="2:4" x14ac:dyDescent="0.35">
      <c r="B832" s="10">
        <v>44971</v>
      </c>
      <c r="C832" s="11">
        <v>43.35</v>
      </c>
      <c r="D832" s="43">
        <f t="shared" si="12"/>
        <v>-1.1134422616665187E-2</v>
      </c>
    </row>
    <row r="833" spans="2:4" x14ac:dyDescent="0.35">
      <c r="B833" s="10">
        <v>44970</v>
      </c>
      <c r="C833" s="11">
        <v>43.87</v>
      </c>
      <c r="D833" s="43">
        <f t="shared" si="12"/>
        <v>-1.1924011951571662E-2</v>
      </c>
    </row>
    <row r="834" spans="2:4" x14ac:dyDescent="0.35">
      <c r="B834" s="10">
        <v>44967</v>
      </c>
      <c r="C834" s="11">
        <v>43.58</v>
      </c>
      <c r="D834" s="43">
        <f t="shared" si="12"/>
        <v>6.6323856616487438E-3</v>
      </c>
    </row>
    <row r="835" spans="2:4" x14ac:dyDescent="0.35">
      <c r="B835" s="10">
        <v>44966</v>
      </c>
      <c r="C835" s="11">
        <v>44.3</v>
      </c>
      <c r="D835" s="43">
        <f t="shared" si="12"/>
        <v>-1.6386347534616093E-2</v>
      </c>
    </row>
    <row r="836" spans="2:4" x14ac:dyDescent="0.35">
      <c r="B836" s="10">
        <v>44965</v>
      </c>
      <c r="C836" s="11">
        <v>43.89</v>
      </c>
      <c r="D836" s="43">
        <f t="shared" ref="D836:D899" si="13">IFERROR(LN(C835/C836),"")</f>
        <v>9.2981733509471757E-3</v>
      </c>
    </row>
    <row r="837" spans="2:4" x14ac:dyDescent="0.35">
      <c r="B837" s="10">
        <v>44964</v>
      </c>
      <c r="C837" s="11">
        <v>44.98</v>
      </c>
      <c r="D837" s="43">
        <f t="shared" si="13"/>
        <v>-2.4531442831026963E-2</v>
      </c>
    </row>
    <row r="838" spans="2:4" x14ac:dyDescent="0.35">
      <c r="B838" s="10">
        <v>44963</v>
      </c>
      <c r="C838" s="11">
        <v>44.84</v>
      </c>
      <c r="D838" s="43">
        <f t="shared" si="13"/>
        <v>3.1173483272102101E-3</v>
      </c>
    </row>
    <row r="839" spans="2:4" x14ac:dyDescent="0.35">
      <c r="B839" s="10">
        <v>44960</v>
      </c>
      <c r="C839" s="11">
        <v>45.01</v>
      </c>
      <c r="D839" s="43">
        <f t="shared" si="13"/>
        <v>-3.7840891008820718E-3</v>
      </c>
    </row>
    <row r="840" spans="2:4" x14ac:dyDescent="0.35">
      <c r="B840" s="10">
        <v>44959</v>
      </c>
      <c r="C840" s="11">
        <v>44.56</v>
      </c>
      <c r="D840" s="43">
        <f t="shared" si="13"/>
        <v>1.0048091685812627E-2</v>
      </c>
    </row>
    <row r="841" spans="2:4" x14ac:dyDescent="0.35">
      <c r="B841" s="10">
        <v>44958</v>
      </c>
      <c r="C841" s="11">
        <v>42.83</v>
      </c>
      <c r="D841" s="43">
        <f t="shared" si="13"/>
        <v>3.9597803991749121E-2</v>
      </c>
    </row>
    <row r="842" spans="2:4" x14ac:dyDescent="0.35">
      <c r="B842" s="10">
        <v>44957</v>
      </c>
      <c r="C842" s="11">
        <v>42.48</v>
      </c>
      <c r="D842" s="43">
        <f t="shared" si="13"/>
        <v>8.2054146935963291E-3</v>
      </c>
    </row>
    <row r="843" spans="2:4" x14ac:dyDescent="0.35">
      <c r="B843" s="10">
        <v>44956</v>
      </c>
      <c r="C843" s="11">
        <v>41.06</v>
      </c>
      <c r="D843" s="43">
        <f t="shared" si="13"/>
        <v>3.3998965342895801E-2</v>
      </c>
    </row>
    <row r="844" spans="2:4" x14ac:dyDescent="0.35">
      <c r="B844" s="10">
        <v>44953</v>
      </c>
      <c r="C844" s="11">
        <v>43.12</v>
      </c>
      <c r="D844" s="43">
        <f t="shared" si="13"/>
        <v>-4.8952515009954116E-2</v>
      </c>
    </row>
    <row r="845" spans="2:4" x14ac:dyDescent="0.35">
      <c r="B845" s="10">
        <v>44952</v>
      </c>
      <c r="C845" s="11">
        <v>43.25</v>
      </c>
      <c r="D845" s="43">
        <f t="shared" si="13"/>
        <v>-3.0103067771466677E-3</v>
      </c>
    </row>
    <row r="846" spans="2:4" x14ac:dyDescent="0.35">
      <c r="B846" s="10">
        <v>44951</v>
      </c>
      <c r="C846" s="11">
        <v>42.96</v>
      </c>
      <c r="D846" s="43">
        <f t="shared" si="13"/>
        <v>6.7277831772790666E-3</v>
      </c>
    </row>
    <row r="847" spans="2:4" x14ac:dyDescent="0.35">
      <c r="B847" s="10">
        <v>44950</v>
      </c>
      <c r="C847" s="11">
        <v>43.15</v>
      </c>
      <c r="D847" s="43">
        <f t="shared" si="13"/>
        <v>-4.4129673288276381E-3</v>
      </c>
    </row>
    <row r="848" spans="2:4" x14ac:dyDescent="0.35">
      <c r="B848" s="10">
        <v>44949</v>
      </c>
      <c r="C848" s="11">
        <v>42.2</v>
      </c>
      <c r="D848" s="43">
        <f t="shared" si="13"/>
        <v>2.2262196487470704E-2</v>
      </c>
    </row>
    <row r="849" spans="2:4" x14ac:dyDescent="0.35">
      <c r="B849" s="10">
        <v>44946</v>
      </c>
      <c r="C849" s="11">
        <v>41.79</v>
      </c>
      <c r="D849" s="43">
        <f t="shared" si="13"/>
        <v>9.7631445821421657E-3</v>
      </c>
    </row>
    <row r="850" spans="2:4" x14ac:dyDescent="0.35">
      <c r="B850" s="10">
        <v>44945</v>
      </c>
      <c r="C850" s="11">
        <v>41.93</v>
      </c>
      <c r="D850" s="43">
        <f t="shared" si="13"/>
        <v>-3.3444847228472486E-3</v>
      </c>
    </row>
    <row r="851" spans="2:4" x14ac:dyDescent="0.35">
      <c r="B851" s="10">
        <v>44944</v>
      </c>
      <c r="C851" s="11">
        <v>42.52</v>
      </c>
      <c r="D851" s="43">
        <f t="shared" si="13"/>
        <v>-1.3972992291075919E-2</v>
      </c>
    </row>
    <row r="852" spans="2:4" x14ac:dyDescent="0.35">
      <c r="B852" s="10">
        <v>44943</v>
      </c>
      <c r="C852" s="11">
        <v>42.72</v>
      </c>
      <c r="D852" s="43">
        <f t="shared" si="13"/>
        <v>-4.6926411781920644E-3</v>
      </c>
    </row>
    <row r="853" spans="2:4" x14ac:dyDescent="0.35">
      <c r="B853" s="10">
        <v>44939</v>
      </c>
      <c r="C853" s="11">
        <v>42.46</v>
      </c>
      <c r="D853" s="43">
        <f t="shared" si="13"/>
        <v>6.1047383768293231E-3</v>
      </c>
    </row>
    <row r="854" spans="2:4" x14ac:dyDescent="0.35">
      <c r="B854" s="10">
        <v>44938</v>
      </c>
      <c r="C854" s="11">
        <v>42.82</v>
      </c>
      <c r="D854" s="43">
        <f t="shared" si="13"/>
        <v>-8.4428268864266739E-3</v>
      </c>
    </row>
    <row r="855" spans="2:4" x14ac:dyDescent="0.35">
      <c r="B855" s="10">
        <v>44937</v>
      </c>
      <c r="C855" s="11">
        <v>41.27</v>
      </c>
      <c r="D855" s="43">
        <f t="shared" si="13"/>
        <v>3.6869439397046302E-2</v>
      </c>
    </row>
    <row r="856" spans="2:4" x14ac:dyDescent="0.35">
      <c r="B856" s="10">
        <v>44936</v>
      </c>
      <c r="C856" s="11">
        <v>43.42</v>
      </c>
      <c r="D856" s="43">
        <f t="shared" si="13"/>
        <v>-5.078432068565529E-2</v>
      </c>
    </row>
    <row r="857" spans="2:4" x14ac:dyDescent="0.35">
      <c r="B857" s="10">
        <v>44935</v>
      </c>
      <c r="C857" s="11">
        <v>42.3</v>
      </c>
      <c r="D857" s="43">
        <f t="shared" si="13"/>
        <v>2.6133078397913536E-2</v>
      </c>
    </row>
    <row r="858" spans="2:4" x14ac:dyDescent="0.35">
      <c r="B858" s="10">
        <v>44932</v>
      </c>
      <c r="C858" s="11">
        <v>43.15</v>
      </c>
      <c r="D858" s="43">
        <f t="shared" si="13"/>
        <v>-1.9895331477204729E-2</v>
      </c>
    </row>
    <row r="859" spans="2:4" x14ac:dyDescent="0.35">
      <c r="B859" s="10">
        <v>44931</v>
      </c>
      <c r="C859" s="11">
        <v>42.53</v>
      </c>
      <c r="D859" s="43">
        <f t="shared" si="13"/>
        <v>1.4472708263894756E-2</v>
      </c>
    </row>
    <row r="860" spans="2:4" x14ac:dyDescent="0.35">
      <c r="B860" s="10">
        <v>44930</v>
      </c>
      <c r="C860" s="11">
        <v>42.7</v>
      </c>
      <c r="D860" s="43">
        <f t="shared" si="13"/>
        <v>-3.9892109690367961E-3</v>
      </c>
    </row>
    <row r="861" spans="2:4" x14ac:dyDescent="0.35">
      <c r="B861" s="10">
        <v>44929</v>
      </c>
      <c r="C861" s="11">
        <v>44.35</v>
      </c>
      <c r="D861" s="43">
        <f t="shared" si="13"/>
        <v>-3.7913788521009607E-2</v>
      </c>
    </row>
    <row r="862" spans="2:4" x14ac:dyDescent="0.35">
      <c r="B862" s="10">
        <v>44925</v>
      </c>
      <c r="C862" s="11">
        <v>45.82</v>
      </c>
      <c r="D862" s="43">
        <f t="shared" si="13"/>
        <v>-3.2607968269760958E-2</v>
      </c>
    </row>
    <row r="863" spans="2:4" x14ac:dyDescent="0.35">
      <c r="B863" s="10">
        <v>44924</v>
      </c>
      <c r="C863" s="11">
        <v>45.69</v>
      </c>
      <c r="D863" s="43">
        <f t="shared" si="13"/>
        <v>2.841221450169375E-3</v>
      </c>
    </row>
    <row r="864" spans="2:4" x14ac:dyDescent="0.35">
      <c r="B864" s="10">
        <v>44923</v>
      </c>
      <c r="C864" s="11">
        <v>45.6</v>
      </c>
      <c r="D864" s="43">
        <f t="shared" si="13"/>
        <v>1.9717390548396616E-3</v>
      </c>
    </row>
    <row r="865" spans="2:4" x14ac:dyDescent="0.35">
      <c r="B865" s="10">
        <v>44922</v>
      </c>
      <c r="C865" s="11">
        <v>45.19</v>
      </c>
      <c r="D865" s="43">
        <f t="shared" si="13"/>
        <v>9.0318930971520703E-3</v>
      </c>
    </row>
    <row r="866" spans="2:4" x14ac:dyDescent="0.35">
      <c r="B866" s="10">
        <v>44918</v>
      </c>
      <c r="C866" s="11">
        <v>45.59</v>
      </c>
      <c r="D866" s="43">
        <f t="shared" si="13"/>
        <v>-8.8125708021618912E-3</v>
      </c>
    </row>
    <row r="867" spans="2:4" x14ac:dyDescent="0.35">
      <c r="B867" s="10">
        <v>44917</v>
      </c>
      <c r="C867" s="11">
        <v>47.41</v>
      </c>
      <c r="D867" s="43">
        <f t="shared" si="13"/>
        <v>-3.9144782688676785E-2</v>
      </c>
    </row>
    <row r="868" spans="2:4" x14ac:dyDescent="0.35">
      <c r="B868" s="10">
        <v>44916</v>
      </c>
      <c r="C868" s="11">
        <v>45.12</v>
      </c>
      <c r="D868" s="43">
        <f t="shared" si="13"/>
        <v>4.9507569724223453E-2</v>
      </c>
    </row>
    <row r="869" spans="2:4" x14ac:dyDescent="0.35">
      <c r="B869" s="10">
        <v>44915</v>
      </c>
      <c r="C869" s="11">
        <v>44.46</v>
      </c>
      <c r="D869" s="43">
        <f t="shared" si="13"/>
        <v>1.4735698653752965E-2</v>
      </c>
    </row>
    <row r="870" spans="2:4" x14ac:dyDescent="0.35">
      <c r="B870" s="10">
        <v>44914</v>
      </c>
      <c r="C870" s="11">
        <v>44.02</v>
      </c>
      <c r="D870" s="43">
        <f t="shared" si="13"/>
        <v>9.9458324377348847E-3</v>
      </c>
    </row>
    <row r="871" spans="2:4" x14ac:dyDescent="0.35">
      <c r="B871" s="10">
        <v>44911</v>
      </c>
      <c r="C871" s="11">
        <v>43.71</v>
      </c>
      <c r="D871" s="43">
        <f t="shared" si="13"/>
        <v>7.0671672230925731E-3</v>
      </c>
    </row>
    <row r="872" spans="2:4" x14ac:dyDescent="0.35">
      <c r="B872" s="10">
        <v>44910</v>
      </c>
      <c r="C872" s="11">
        <v>43.1</v>
      </c>
      <c r="D872" s="43">
        <f t="shared" si="13"/>
        <v>1.405391176552113E-2</v>
      </c>
    </row>
    <row r="873" spans="2:4" x14ac:dyDescent="0.35">
      <c r="B873" s="10">
        <v>44909</v>
      </c>
      <c r="C873" s="11">
        <v>41.41</v>
      </c>
      <c r="D873" s="43">
        <f t="shared" si="13"/>
        <v>4.0000599552226249E-2</v>
      </c>
    </row>
    <row r="874" spans="2:4" x14ac:dyDescent="0.35">
      <c r="B874" s="10">
        <v>44908</v>
      </c>
      <c r="C874" s="11">
        <v>38.33</v>
      </c>
      <c r="D874" s="43">
        <f t="shared" si="13"/>
        <v>7.72895181650122E-2</v>
      </c>
    </row>
    <row r="875" spans="2:4" x14ac:dyDescent="0.35">
      <c r="B875" s="10">
        <v>44907</v>
      </c>
      <c r="C875" s="11">
        <v>38.33</v>
      </c>
      <c r="D875" s="43">
        <f t="shared" si="13"/>
        <v>0</v>
      </c>
    </row>
    <row r="876" spans="2:4" x14ac:dyDescent="0.35">
      <c r="B876" s="10">
        <v>44904</v>
      </c>
      <c r="C876" s="11">
        <v>35.770000000000003</v>
      </c>
      <c r="D876" s="43">
        <f t="shared" si="13"/>
        <v>6.9123326121537168E-2</v>
      </c>
    </row>
    <row r="877" spans="2:4" x14ac:dyDescent="0.35">
      <c r="B877" s="10">
        <v>44903</v>
      </c>
      <c r="C877" s="11">
        <v>36</v>
      </c>
      <c r="D877" s="43">
        <f t="shared" si="13"/>
        <v>-6.4093851851835179E-3</v>
      </c>
    </row>
    <row r="878" spans="2:4" x14ac:dyDescent="0.35">
      <c r="B878" s="10">
        <v>44902</v>
      </c>
      <c r="C878" s="11">
        <v>37.04</v>
      </c>
      <c r="D878" s="43">
        <f t="shared" si="13"/>
        <v>-2.8479471321868573E-2</v>
      </c>
    </row>
    <row r="879" spans="2:4" x14ac:dyDescent="0.35">
      <c r="B879" s="10">
        <v>44901</v>
      </c>
      <c r="C879" s="11">
        <v>37</v>
      </c>
      <c r="D879" s="43">
        <f t="shared" si="13"/>
        <v>1.0804971337541789E-3</v>
      </c>
    </row>
    <row r="880" spans="2:4" x14ac:dyDescent="0.35">
      <c r="B880" s="10">
        <v>44900</v>
      </c>
      <c r="C880" s="11">
        <v>38.119999999999997</v>
      </c>
      <c r="D880" s="43">
        <f t="shared" si="13"/>
        <v>-2.9821166141776812E-2</v>
      </c>
    </row>
    <row r="881" spans="2:4" x14ac:dyDescent="0.35">
      <c r="B881" s="10">
        <v>44897</v>
      </c>
      <c r="C881" s="11">
        <v>40.49</v>
      </c>
      <c r="D881" s="43">
        <f t="shared" si="13"/>
        <v>-6.0315951258068476E-2</v>
      </c>
    </row>
    <row r="882" spans="2:4" x14ac:dyDescent="0.35">
      <c r="B882" s="10">
        <v>44896</v>
      </c>
      <c r="C882" s="11">
        <v>40.86</v>
      </c>
      <c r="D882" s="43">
        <f t="shared" si="13"/>
        <v>-9.0965593454061661E-3</v>
      </c>
    </row>
    <row r="883" spans="2:4" x14ac:dyDescent="0.35">
      <c r="B883" s="10">
        <v>44895</v>
      </c>
      <c r="C883" s="11">
        <v>42.5</v>
      </c>
      <c r="D883" s="43">
        <f t="shared" si="13"/>
        <v>-3.9352486540895203E-2</v>
      </c>
    </row>
    <row r="884" spans="2:4" x14ac:dyDescent="0.35">
      <c r="B884" s="10">
        <v>44894</v>
      </c>
      <c r="C884" s="11">
        <v>40.46</v>
      </c>
      <c r="D884" s="43">
        <f t="shared" si="13"/>
        <v>4.9190244190771781E-2</v>
      </c>
    </row>
    <row r="885" spans="2:4" x14ac:dyDescent="0.35">
      <c r="B885" s="10">
        <v>44893</v>
      </c>
      <c r="C885" s="11">
        <v>40.090000000000003</v>
      </c>
      <c r="D885" s="43">
        <f t="shared" si="13"/>
        <v>9.1869050851838274E-3</v>
      </c>
    </row>
    <row r="886" spans="2:4" x14ac:dyDescent="0.35">
      <c r="B886" s="10">
        <v>44890</v>
      </c>
      <c r="C886" s="11">
        <v>40.68</v>
      </c>
      <c r="D886" s="43">
        <f t="shared" si="13"/>
        <v>-1.4609644525943493E-2</v>
      </c>
    </row>
    <row r="887" spans="2:4" x14ac:dyDescent="0.35">
      <c r="B887" s="10">
        <v>44888</v>
      </c>
      <c r="C887" s="11">
        <v>40.51</v>
      </c>
      <c r="D887" s="43">
        <f t="shared" si="13"/>
        <v>4.1877139657600093E-3</v>
      </c>
    </row>
    <row r="888" spans="2:4" x14ac:dyDescent="0.35">
      <c r="B888" s="10">
        <v>44887</v>
      </c>
      <c r="C888" s="11">
        <v>40.049999999999997</v>
      </c>
      <c r="D888" s="43">
        <f t="shared" si="13"/>
        <v>1.1420183700230901E-2</v>
      </c>
    </row>
    <row r="889" spans="2:4" x14ac:dyDescent="0.35">
      <c r="B889" s="10">
        <v>44886</v>
      </c>
      <c r="C889" s="11">
        <v>39.93</v>
      </c>
      <c r="D889" s="43">
        <f t="shared" si="13"/>
        <v>3.0007524392382419E-3</v>
      </c>
    </row>
    <row r="890" spans="2:4" x14ac:dyDescent="0.35">
      <c r="B890" s="10">
        <v>44883</v>
      </c>
      <c r="C890" s="11">
        <v>41.14</v>
      </c>
      <c r="D890" s="43">
        <f t="shared" si="13"/>
        <v>-2.985296314968116E-2</v>
      </c>
    </row>
    <row r="891" spans="2:4" x14ac:dyDescent="0.35">
      <c r="B891" s="10">
        <v>44882</v>
      </c>
      <c r="C891" s="11">
        <v>40.33</v>
      </c>
      <c r="D891" s="43">
        <f t="shared" si="13"/>
        <v>1.9885275339534499E-2</v>
      </c>
    </row>
    <row r="892" spans="2:4" x14ac:dyDescent="0.35">
      <c r="B892" s="10">
        <v>44881</v>
      </c>
      <c r="C892" s="11">
        <v>40.07</v>
      </c>
      <c r="D892" s="43">
        <f t="shared" si="13"/>
        <v>6.4676842372236058E-3</v>
      </c>
    </row>
    <row r="893" spans="2:4" x14ac:dyDescent="0.35">
      <c r="B893" s="10">
        <v>44880</v>
      </c>
      <c r="C893" s="11">
        <v>39.950000000000003</v>
      </c>
      <c r="D893" s="43">
        <f t="shared" si="13"/>
        <v>2.999252435769362E-3</v>
      </c>
    </row>
    <row r="894" spans="2:4" x14ac:dyDescent="0.35">
      <c r="B894" s="10">
        <v>44879</v>
      </c>
      <c r="C894" s="11">
        <v>39.869999999999997</v>
      </c>
      <c r="D894" s="43">
        <f t="shared" si="13"/>
        <v>2.0045108190201387E-3</v>
      </c>
    </row>
    <row r="895" spans="2:4" x14ac:dyDescent="0.35">
      <c r="B895" s="10">
        <v>44876</v>
      </c>
      <c r="C895" s="11">
        <v>39.65</v>
      </c>
      <c r="D895" s="43">
        <f t="shared" si="13"/>
        <v>5.5332133124067285E-3</v>
      </c>
    </row>
    <row r="896" spans="2:4" x14ac:dyDescent="0.35">
      <c r="B896" s="10">
        <v>44875</v>
      </c>
      <c r="C896" s="11">
        <v>39.119999999999997</v>
      </c>
      <c r="D896" s="43">
        <f t="shared" si="13"/>
        <v>1.3457102914240456E-2</v>
      </c>
    </row>
    <row r="897" spans="2:4" x14ac:dyDescent="0.35">
      <c r="B897" s="10">
        <v>44874</v>
      </c>
      <c r="C897" s="11">
        <v>36.65</v>
      </c>
      <c r="D897" s="43">
        <f t="shared" si="13"/>
        <v>6.5220416833955991E-2</v>
      </c>
    </row>
    <row r="898" spans="2:4" x14ac:dyDescent="0.35">
      <c r="B898" s="10">
        <v>44873</v>
      </c>
      <c r="C898" s="11">
        <v>38.25</v>
      </c>
      <c r="D898" s="43">
        <f t="shared" si="13"/>
        <v>-4.2730131939884425E-2</v>
      </c>
    </row>
    <row r="899" spans="2:4" x14ac:dyDescent="0.35">
      <c r="B899" s="10">
        <v>44872</v>
      </c>
      <c r="C899" s="11">
        <v>36.51</v>
      </c>
      <c r="D899" s="43">
        <f t="shared" si="13"/>
        <v>4.6557364604999318E-2</v>
      </c>
    </row>
    <row r="900" spans="2:4" x14ac:dyDescent="0.35">
      <c r="B900" s="10">
        <v>44869</v>
      </c>
      <c r="C900" s="11">
        <v>37.75</v>
      </c>
      <c r="D900" s="43">
        <f t="shared" ref="D900:D963" si="14">IFERROR(LN(C899/C900),"")</f>
        <v>-3.3399280027488217E-2</v>
      </c>
    </row>
    <row r="901" spans="2:4" x14ac:dyDescent="0.35">
      <c r="B901" s="10">
        <v>44868</v>
      </c>
      <c r="C901" s="11">
        <v>39.75</v>
      </c>
      <c r="D901" s="43">
        <f t="shared" si="14"/>
        <v>-5.1624365405307182E-2</v>
      </c>
    </row>
    <row r="902" spans="2:4" x14ac:dyDescent="0.35">
      <c r="B902" s="10">
        <v>44867</v>
      </c>
      <c r="C902" s="11">
        <v>41.87</v>
      </c>
      <c r="D902" s="43">
        <f t="shared" si="14"/>
        <v>-5.1959738930710986E-2</v>
      </c>
    </row>
    <row r="903" spans="2:4" x14ac:dyDescent="0.35">
      <c r="B903" s="10">
        <v>44866</v>
      </c>
      <c r="C903" s="11">
        <v>42.99</v>
      </c>
      <c r="D903" s="43">
        <f t="shared" si="14"/>
        <v>-2.6397950477138374E-2</v>
      </c>
    </row>
    <row r="904" spans="2:4" x14ac:dyDescent="0.35">
      <c r="B904" s="10">
        <v>44865</v>
      </c>
      <c r="C904" s="11">
        <v>43.66</v>
      </c>
      <c r="D904" s="43">
        <f t="shared" si="14"/>
        <v>-1.546482061360749E-2</v>
      </c>
    </row>
    <row r="905" spans="2:4" x14ac:dyDescent="0.35">
      <c r="B905" s="10">
        <v>44862</v>
      </c>
      <c r="C905" s="11">
        <v>43.24</v>
      </c>
      <c r="D905" s="43">
        <f t="shared" si="14"/>
        <v>9.6663583507902474E-3</v>
      </c>
    </row>
    <row r="906" spans="2:4" x14ac:dyDescent="0.35">
      <c r="B906" s="10">
        <v>44861</v>
      </c>
      <c r="C906" s="11">
        <v>42.59</v>
      </c>
      <c r="D906" s="43">
        <f t="shared" si="14"/>
        <v>1.5146508835885326E-2</v>
      </c>
    </row>
    <row r="907" spans="2:4" x14ac:dyDescent="0.35">
      <c r="B907" s="10">
        <v>44860</v>
      </c>
      <c r="C907" s="11">
        <v>43.25</v>
      </c>
      <c r="D907" s="43">
        <f t="shared" si="14"/>
        <v>-1.5377749442766087E-2</v>
      </c>
    </row>
    <row r="908" spans="2:4" x14ac:dyDescent="0.35">
      <c r="B908" s="10">
        <v>44859</v>
      </c>
      <c r="C908" s="11">
        <v>46.22</v>
      </c>
      <c r="D908" s="43">
        <f t="shared" si="14"/>
        <v>-6.6415371468346335E-2</v>
      </c>
    </row>
    <row r="909" spans="2:4" x14ac:dyDescent="0.35">
      <c r="B909" s="10">
        <v>44858</v>
      </c>
      <c r="C909" s="11">
        <v>45.08</v>
      </c>
      <c r="D909" s="43">
        <f t="shared" si="14"/>
        <v>2.4973915674659185E-2</v>
      </c>
    </row>
    <row r="910" spans="2:4" x14ac:dyDescent="0.35">
      <c r="B910" s="10">
        <v>44855</v>
      </c>
      <c r="C910" s="11">
        <v>46.42</v>
      </c>
      <c r="D910" s="43">
        <f t="shared" si="14"/>
        <v>-2.9291711674715497E-2</v>
      </c>
    </row>
    <row r="911" spans="2:4" x14ac:dyDescent="0.35">
      <c r="B911" s="10">
        <v>44854</v>
      </c>
      <c r="C911" s="11">
        <v>47.35</v>
      </c>
      <c r="D911" s="43">
        <f t="shared" si="14"/>
        <v>-1.9836418785796221E-2</v>
      </c>
    </row>
    <row r="912" spans="2:4" x14ac:dyDescent="0.35">
      <c r="B912" s="10">
        <v>44853</v>
      </c>
      <c r="C912" s="11">
        <v>47.1</v>
      </c>
      <c r="D912" s="43">
        <f t="shared" si="14"/>
        <v>5.2938186097152952E-3</v>
      </c>
    </row>
    <row r="913" spans="2:4" x14ac:dyDescent="0.35">
      <c r="B913" s="10">
        <v>44852</v>
      </c>
      <c r="C913" s="11">
        <v>49.08</v>
      </c>
      <c r="D913" s="43">
        <f t="shared" si="14"/>
        <v>-4.1178618820338617E-2</v>
      </c>
    </row>
    <row r="914" spans="2:4" x14ac:dyDescent="0.35">
      <c r="B914" s="10">
        <v>44851</v>
      </c>
      <c r="C914" s="11">
        <v>48.12</v>
      </c>
      <c r="D914" s="43">
        <f t="shared" si="14"/>
        <v>1.9753728736232649E-2</v>
      </c>
    </row>
    <row r="915" spans="2:4" x14ac:dyDescent="0.35">
      <c r="B915" s="10">
        <v>44848</v>
      </c>
      <c r="C915" s="11">
        <v>45.95</v>
      </c>
      <c r="D915" s="43">
        <f t="shared" si="14"/>
        <v>4.614404230478205E-2</v>
      </c>
    </row>
    <row r="916" spans="2:4" x14ac:dyDescent="0.35">
      <c r="B916" s="10">
        <v>44847</v>
      </c>
      <c r="C916" s="11">
        <v>48.64</v>
      </c>
      <c r="D916" s="43">
        <f t="shared" si="14"/>
        <v>-5.6892388856215413E-2</v>
      </c>
    </row>
    <row r="917" spans="2:4" x14ac:dyDescent="0.35">
      <c r="B917" s="10">
        <v>44846</v>
      </c>
      <c r="C917" s="11">
        <v>47.96</v>
      </c>
      <c r="D917" s="43">
        <f t="shared" si="14"/>
        <v>1.4078907498598088E-2</v>
      </c>
    </row>
    <row r="918" spans="2:4" x14ac:dyDescent="0.35">
      <c r="B918" s="10">
        <v>44845</v>
      </c>
      <c r="C918" s="11">
        <v>48.24</v>
      </c>
      <c r="D918" s="43">
        <f t="shared" si="14"/>
        <v>-5.8212222596165366E-3</v>
      </c>
    </row>
    <row r="919" spans="2:4" x14ac:dyDescent="0.35">
      <c r="B919" s="10">
        <v>44844</v>
      </c>
      <c r="C919" s="11">
        <v>47.23</v>
      </c>
      <c r="D919" s="43">
        <f t="shared" si="14"/>
        <v>2.1159268510904314E-2</v>
      </c>
    </row>
    <row r="920" spans="2:4" x14ac:dyDescent="0.35">
      <c r="B920" s="10">
        <v>44841</v>
      </c>
      <c r="C920" s="11">
        <v>47.76</v>
      </c>
      <c r="D920" s="43">
        <f t="shared" si="14"/>
        <v>-1.115918517632089E-2</v>
      </c>
    </row>
    <row r="921" spans="2:4" x14ac:dyDescent="0.35">
      <c r="B921" s="10">
        <v>44840</v>
      </c>
      <c r="C921" s="11">
        <v>50.39</v>
      </c>
      <c r="D921" s="43">
        <f t="shared" si="14"/>
        <v>-5.3604273608160093E-2</v>
      </c>
    </row>
    <row r="922" spans="2:4" x14ac:dyDescent="0.35">
      <c r="B922" s="10">
        <v>44839</v>
      </c>
      <c r="C922" s="11">
        <v>49.38</v>
      </c>
      <c r="D922" s="43">
        <f t="shared" si="14"/>
        <v>2.0247258775473152E-2</v>
      </c>
    </row>
    <row r="923" spans="2:4" x14ac:dyDescent="0.35">
      <c r="B923" s="10">
        <v>44838</v>
      </c>
      <c r="C923" s="11">
        <v>50.12</v>
      </c>
      <c r="D923" s="43">
        <f t="shared" si="14"/>
        <v>-1.4874646110834016E-2</v>
      </c>
    </row>
    <row r="924" spans="2:4" x14ac:dyDescent="0.35">
      <c r="B924" s="10">
        <v>44837</v>
      </c>
      <c r="C924" s="11">
        <v>51.11</v>
      </c>
      <c r="D924" s="43">
        <f t="shared" si="14"/>
        <v>-1.956004275232074E-2</v>
      </c>
    </row>
    <row r="925" spans="2:4" x14ac:dyDescent="0.35">
      <c r="B925" s="10">
        <v>44834</v>
      </c>
      <c r="C925" s="11">
        <v>48.45</v>
      </c>
      <c r="D925" s="43">
        <f t="shared" si="14"/>
        <v>5.3447834443412987E-2</v>
      </c>
    </row>
    <row r="926" spans="2:4" x14ac:dyDescent="0.35">
      <c r="B926" s="10">
        <v>44833</v>
      </c>
      <c r="C926" s="11">
        <v>48.93</v>
      </c>
      <c r="D926" s="43">
        <f t="shared" si="14"/>
        <v>-9.8583669642568674E-3</v>
      </c>
    </row>
    <row r="927" spans="2:4" x14ac:dyDescent="0.35">
      <c r="B927" s="10">
        <v>44832</v>
      </c>
      <c r="C927" s="11">
        <v>50.03</v>
      </c>
      <c r="D927" s="43">
        <f t="shared" si="14"/>
        <v>-2.2232120199081502E-2</v>
      </c>
    </row>
    <row r="928" spans="2:4" x14ac:dyDescent="0.35">
      <c r="B928" s="10">
        <v>44831</v>
      </c>
      <c r="C928" s="11">
        <v>49.23</v>
      </c>
      <c r="D928" s="43">
        <f t="shared" si="14"/>
        <v>1.61196317300045E-2</v>
      </c>
    </row>
    <row r="929" spans="2:4" x14ac:dyDescent="0.35">
      <c r="B929" s="10">
        <v>44830</v>
      </c>
      <c r="C929" s="11">
        <v>47.92</v>
      </c>
      <c r="D929" s="43">
        <f t="shared" si="14"/>
        <v>2.6970239962915258E-2</v>
      </c>
    </row>
    <row r="930" spans="2:4" x14ac:dyDescent="0.35">
      <c r="B930" s="10">
        <v>44827</v>
      </c>
      <c r="C930" s="11">
        <v>50.79</v>
      </c>
      <c r="D930" s="43">
        <f t="shared" si="14"/>
        <v>-5.8166531005959643E-2</v>
      </c>
    </row>
    <row r="931" spans="2:4" x14ac:dyDescent="0.35">
      <c r="B931" s="10">
        <v>44826</v>
      </c>
      <c r="C931" s="11">
        <v>51.55</v>
      </c>
      <c r="D931" s="43">
        <f t="shared" si="14"/>
        <v>-1.4852725649815256E-2</v>
      </c>
    </row>
    <row r="932" spans="2:4" x14ac:dyDescent="0.35">
      <c r="B932" s="10">
        <v>44825</v>
      </c>
      <c r="C932" s="11">
        <v>51.55</v>
      </c>
      <c r="D932" s="43">
        <f t="shared" si="14"/>
        <v>0</v>
      </c>
    </row>
    <row r="933" spans="2:4" x14ac:dyDescent="0.35">
      <c r="B933" s="10">
        <v>44824</v>
      </c>
      <c r="C933" s="11">
        <v>53.02</v>
      </c>
      <c r="D933" s="43">
        <f t="shared" si="14"/>
        <v>-2.8116990397910633E-2</v>
      </c>
    </row>
    <row r="934" spans="2:4" x14ac:dyDescent="0.35">
      <c r="B934" s="10">
        <v>44823</v>
      </c>
      <c r="C934" s="11">
        <v>52.31</v>
      </c>
      <c r="D934" s="43">
        <f t="shared" si="14"/>
        <v>1.3481643478359723E-2</v>
      </c>
    </row>
    <row r="935" spans="2:4" x14ac:dyDescent="0.35">
      <c r="B935" s="10">
        <v>44820</v>
      </c>
      <c r="C935" s="11">
        <v>53.35</v>
      </c>
      <c r="D935" s="43">
        <f t="shared" si="14"/>
        <v>-1.9686420365242704E-2</v>
      </c>
    </row>
    <row r="936" spans="2:4" x14ac:dyDescent="0.35">
      <c r="B936" s="10">
        <v>44819</v>
      </c>
      <c r="C936" s="11">
        <v>54.51</v>
      </c>
      <c r="D936" s="43">
        <f t="shared" si="14"/>
        <v>-2.1510193328427123E-2</v>
      </c>
    </row>
    <row r="937" spans="2:4" x14ac:dyDescent="0.35">
      <c r="B937" s="10">
        <v>44818</v>
      </c>
      <c r="C937" s="11">
        <v>54.3</v>
      </c>
      <c r="D937" s="43">
        <f t="shared" si="14"/>
        <v>3.8599441362997112E-3</v>
      </c>
    </row>
    <row r="938" spans="2:4" x14ac:dyDescent="0.35">
      <c r="B938" s="10">
        <v>44817</v>
      </c>
      <c r="C938" s="11">
        <v>53.45</v>
      </c>
      <c r="D938" s="43">
        <f t="shared" si="14"/>
        <v>1.577758946883533E-2</v>
      </c>
    </row>
    <row r="939" spans="2:4" x14ac:dyDescent="0.35">
      <c r="B939" s="10">
        <v>44816</v>
      </c>
      <c r="C939" s="11">
        <v>54.46</v>
      </c>
      <c r="D939" s="43">
        <f t="shared" si="14"/>
        <v>-1.8719849774559226E-2</v>
      </c>
    </row>
    <row r="940" spans="2:4" x14ac:dyDescent="0.35">
      <c r="B940" s="10">
        <v>44813</v>
      </c>
      <c r="C940" s="11">
        <v>54.52</v>
      </c>
      <c r="D940" s="43">
        <f t="shared" si="14"/>
        <v>-1.1011195827183749E-3</v>
      </c>
    </row>
    <row r="941" spans="2:4" x14ac:dyDescent="0.35">
      <c r="B941" s="10">
        <v>44812</v>
      </c>
      <c r="C941" s="11">
        <v>54.05</v>
      </c>
      <c r="D941" s="43">
        <f t="shared" si="14"/>
        <v>8.6580627431147514E-3</v>
      </c>
    </row>
    <row r="942" spans="2:4" x14ac:dyDescent="0.35">
      <c r="B942" s="10">
        <v>44811</v>
      </c>
      <c r="C942" s="11">
        <v>50.99</v>
      </c>
      <c r="D942" s="43">
        <f t="shared" si="14"/>
        <v>5.8280009018152799E-2</v>
      </c>
    </row>
    <row r="943" spans="2:4" x14ac:dyDescent="0.35">
      <c r="B943" s="10">
        <v>44810</v>
      </c>
      <c r="C943" s="11">
        <v>49.17</v>
      </c>
      <c r="D943" s="43">
        <f t="shared" si="14"/>
        <v>3.6345853643216429E-2</v>
      </c>
    </row>
    <row r="944" spans="2:4" x14ac:dyDescent="0.35">
      <c r="B944" s="10">
        <v>44806</v>
      </c>
      <c r="C944" s="11">
        <v>54.06</v>
      </c>
      <c r="D944" s="43">
        <f t="shared" si="14"/>
        <v>-9.4810859424453595E-2</v>
      </c>
    </row>
    <row r="945" spans="2:4" x14ac:dyDescent="0.35">
      <c r="B945" s="10">
        <v>44805</v>
      </c>
      <c r="C945" s="11">
        <v>53.74</v>
      </c>
      <c r="D945" s="43">
        <f t="shared" si="14"/>
        <v>5.9369376609563554E-3</v>
      </c>
    </row>
    <row r="946" spans="2:4" x14ac:dyDescent="0.35">
      <c r="B946" s="10">
        <v>44804</v>
      </c>
      <c r="C946" s="11">
        <v>52.96</v>
      </c>
      <c r="D946" s="43">
        <f t="shared" si="14"/>
        <v>1.4620691558592372E-2</v>
      </c>
    </row>
    <row r="947" spans="2:4" x14ac:dyDescent="0.35">
      <c r="B947" s="10">
        <v>44803</v>
      </c>
      <c r="C947" s="11">
        <v>51.03</v>
      </c>
      <c r="D947" s="43">
        <f t="shared" si="14"/>
        <v>3.7123216552872602E-2</v>
      </c>
    </row>
    <row r="948" spans="2:4" x14ac:dyDescent="0.35">
      <c r="B948" s="10">
        <v>44802</v>
      </c>
      <c r="C948" s="11">
        <v>51.17</v>
      </c>
      <c r="D948" s="43">
        <f t="shared" si="14"/>
        <v>-2.7397277411203274E-3</v>
      </c>
    </row>
    <row r="949" spans="2:4" x14ac:dyDescent="0.35">
      <c r="B949" s="10">
        <v>44799</v>
      </c>
      <c r="C949" s="11">
        <v>51.02</v>
      </c>
      <c r="D949" s="43">
        <f t="shared" si="14"/>
        <v>2.9357101033351271E-3</v>
      </c>
    </row>
    <row r="950" spans="2:4" x14ac:dyDescent="0.35">
      <c r="B950" s="10">
        <v>44798</v>
      </c>
      <c r="C950" s="11">
        <v>52.25</v>
      </c>
      <c r="D950" s="43">
        <f t="shared" si="14"/>
        <v>-2.3822178131255024E-2</v>
      </c>
    </row>
    <row r="951" spans="2:4" x14ac:dyDescent="0.35">
      <c r="B951" s="10">
        <v>44797</v>
      </c>
      <c r="C951" s="11">
        <v>53.26</v>
      </c>
      <c r="D951" s="43">
        <f t="shared" si="14"/>
        <v>-1.914568954086578E-2</v>
      </c>
    </row>
    <row r="952" spans="2:4" x14ac:dyDescent="0.35">
      <c r="B952" s="10">
        <v>44796</v>
      </c>
      <c r="C952" s="11">
        <v>52</v>
      </c>
      <c r="D952" s="43">
        <f t="shared" si="14"/>
        <v>2.3941861804358863E-2</v>
      </c>
    </row>
    <row r="953" spans="2:4" x14ac:dyDescent="0.35">
      <c r="B953" s="10">
        <v>44795</v>
      </c>
      <c r="C953" s="11">
        <v>48.66</v>
      </c>
      <c r="D953" s="43">
        <f t="shared" si="14"/>
        <v>6.6386381226050811E-2</v>
      </c>
    </row>
    <row r="954" spans="2:4" x14ac:dyDescent="0.35">
      <c r="B954" s="10">
        <v>44792</v>
      </c>
      <c r="C954" s="11">
        <v>50.68</v>
      </c>
      <c r="D954" s="43">
        <f t="shared" si="14"/>
        <v>-4.0674018097561868E-2</v>
      </c>
    </row>
    <row r="955" spans="2:4" x14ac:dyDescent="0.35">
      <c r="B955" s="10">
        <v>44791</v>
      </c>
      <c r="C955" s="11">
        <v>50.8</v>
      </c>
      <c r="D955" s="43">
        <f t="shared" si="14"/>
        <v>-2.3649991314978564E-3</v>
      </c>
    </row>
    <row r="956" spans="2:4" x14ac:dyDescent="0.35">
      <c r="B956" s="10">
        <v>44790</v>
      </c>
      <c r="C956" s="11">
        <v>50.57</v>
      </c>
      <c r="D956" s="43">
        <f t="shared" si="14"/>
        <v>4.5378394925443795E-3</v>
      </c>
    </row>
    <row r="957" spans="2:4" x14ac:dyDescent="0.35">
      <c r="B957" s="10">
        <v>44789</v>
      </c>
      <c r="C957" s="11">
        <v>50.81</v>
      </c>
      <c r="D957" s="43">
        <f t="shared" si="14"/>
        <v>-4.7346705137488567E-3</v>
      </c>
    </row>
    <row r="958" spans="2:4" x14ac:dyDescent="0.35">
      <c r="B958" s="10">
        <v>44788</v>
      </c>
      <c r="C958" s="11">
        <v>50.83</v>
      </c>
      <c r="D958" s="43">
        <f t="shared" si="14"/>
        <v>-3.9354585317053457E-4</v>
      </c>
    </row>
    <row r="959" spans="2:4" x14ac:dyDescent="0.35">
      <c r="B959" s="10">
        <v>44785</v>
      </c>
      <c r="C959" s="11">
        <v>50.3</v>
      </c>
      <c r="D959" s="43">
        <f t="shared" si="14"/>
        <v>1.0481654353117563E-2</v>
      </c>
    </row>
    <row r="960" spans="2:4" x14ac:dyDescent="0.35">
      <c r="B960" s="10">
        <v>44784</v>
      </c>
      <c r="C960" s="11">
        <v>49.47</v>
      </c>
      <c r="D960" s="43">
        <f t="shared" si="14"/>
        <v>1.6638651866076239E-2</v>
      </c>
    </row>
    <row r="961" spans="2:4" x14ac:dyDescent="0.35">
      <c r="B961" s="10">
        <v>44783</v>
      </c>
      <c r="C961" s="11">
        <v>52.74</v>
      </c>
      <c r="D961" s="43">
        <f t="shared" si="14"/>
        <v>-6.4007755685523526E-2</v>
      </c>
    </row>
    <row r="962" spans="2:4" x14ac:dyDescent="0.35">
      <c r="B962" s="10">
        <v>44782</v>
      </c>
      <c r="C962" s="11">
        <v>52.5</v>
      </c>
      <c r="D962" s="43">
        <f t="shared" si="14"/>
        <v>4.5610113275626673E-3</v>
      </c>
    </row>
    <row r="963" spans="2:4" x14ac:dyDescent="0.35">
      <c r="B963" s="10">
        <v>44781</v>
      </c>
      <c r="C963" s="11">
        <v>53.54</v>
      </c>
      <c r="D963" s="43">
        <f t="shared" si="14"/>
        <v>-1.961586849462842E-2</v>
      </c>
    </row>
    <row r="964" spans="2:4" x14ac:dyDescent="0.35">
      <c r="B964" s="10">
        <v>44778</v>
      </c>
      <c r="C964" s="11">
        <v>51.82</v>
      </c>
      <c r="D964" s="43">
        <f t="shared" ref="D964:D1027" si="15">IFERROR(LN(C963/C964),"")</f>
        <v>3.2652862958242608E-2</v>
      </c>
    </row>
    <row r="965" spans="2:4" x14ac:dyDescent="0.35">
      <c r="B965" s="10">
        <v>44777</v>
      </c>
      <c r="C965" s="11">
        <v>46.72</v>
      </c>
      <c r="D965" s="43">
        <f t="shared" si="15"/>
        <v>0.10360383661399231</v>
      </c>
    </row>
    <row r="966" spans="2:4" x14ac:dyDescent="0.35">
      <c r="B966" s="10">
        <v>44776</v>
      </c>
      <c r="C966" s="11">
        <v>42.84</v>
      </c>
      <c r="D966" s="43">
        <f t="shared" si="15"/>
        <v>8.6700092940423509E-2</v>
      </c>
    </row>
    <row r="967" spans="2:4" x14ac:dyDescent="0.35">
      <c r="B967" s="10">
        <v>44775</v>
      </c>
      <c r="C967" s="11">
        <v>42.39</v>
      </c>
      <c r="D967" s="43">
        <f t="shared" si="15"/>
        <v>1.0559760215002253E-2</v>
      </c>
    </row>
    <row r="968" spans="2:4" x14ac:dyDescent="0.35">
      <c r="B968" s="10">
        <v>44774</v>
      </c>
      <c r="C968" s="11">
        <v>41.11</v>
      </c>
      <c r="D968" s="43">
        <f t="shared" si="15"/>
        <v>3.0661084454758691E-2</v>
      </c>
    </row>
    <row r="969" spans="2:4" x14ac:dyDescent="0.35">
      <c r="B969" s="10">
        <v>44771</v>
      </c>
      <c r="C969" s="11">
        <v>42.33</v>
      </c>
      <c r="D969" s="43">
        <f t="shared" si="15"/>
        <v>-2.9244653623045222E-2</v>
      </c>
    </row>
    <row r="970" spans="2:4" x14ac:dyDescent="0.35">
      <c r="B970" s="10">
        <v>44770</v>
      </c>
      <c r="C970" s="11">
        <v>42.47</v>
      </c>
      <c r="D970" s="43">
        <f t="shared" si="15"/>
        <v>-3.3018897923474907E-3</v>
      </c>
    </row>
    <row r="971" spans="2:4" x14ac:dyDescent="0.35">
      <c r="B971" s="10">
        <v>44769</v>
      </c>
      <c r="C971" s="11">
        <v>42.31</v>
      </c>
      <c r="D971" s="43">
        <f t="shared" si="15"/>
        <v>3.7744795932036497E-3</v>
      </c>
    </row>
    <row r="972" spans="2:4" x14ac:dyDescent="0.35">
      <c r="B972" s="10">
        <v>44768</v>
      </c>
      <c r="C972" s="11">
        <v>39.47</v>
      </c>
      <c r="D972" s="43">
        <f t="shared" si="15"/>
        <v>6.9482575057220386E-2</v>
      </c>
    </row>
    <row r="973" spans="2:4" x14ac:dyDescent="0.35">
      <c r="B973" s="10">
        <v>44767</v>
      </c>
      <c r="C973" s="11">
        <v>39.07</v>
      </c>
      <c r="D973" s="43">
        <f t="shared" si="15"/>
        <v>1.0185980607776509E-2</v>
      </c>
    </row>
    <row r="974" spans="2:4" x14ac:dyDescent="0.35">
      <c r="B974" s="10">
        <v>44764</v>
      </c>
      <c r="C974" s="11">
        <v>38.74</v>
      </c>
      <c r="D974" s="43">
        <f t="shared" si="15"/>
        <v>8.4822510881293577E-3</v>
      </c>
    </row>
    <row r="975" spans="2:4" x14ac:dyDescent="0.35">
      <c r="B975" s="10">
        <v>44763</v>
      </c>
      <c r="C975" s="11">
        <v>39.5</v>
      </c>
      <c r="D975" s="43">
        <f t="shared" si="15"/>
        <v>-1.9428013928226334E-2</v>
      </c>
    </row>
    <row r="976" spans="2:4" x14ac:dyDescent="0.35">
      <c r="B976" s="10">
        <v>44762</v>
      </c>
      <c r="C976" s="11">
        <v>38.83</v>
      </c>
      <c r="D976" s="43">
        <f t="shared" si="15"/>
        <v>1.7107528163500193E-2</v>
      </c>
    </row>
    <row r="977" spans="2:4" x14ac:dyDescent="0.35">
      <c r="B977" s="10">
        <v>44761</v>
      </c>
      <c r="C977" s="11">
        <v>39.979999999999997</v>
      </c>
      <c r="D977" s="43">
        <f t="shared" si="15"/>
        <v>-2.9186185328678074E-2</v>
      </c>
    </row>
    <row r="978" spans="2:4" x14ac:dyDescent="0.35">
      <c r="B978" s="10">
        <v>44760</v>
      </c>
      <c r="C978" s="11">
        <v>38.54</v>
      </c>
      <c r="D978" s="43">
        <f t="shared" si="15"/>
        <v>3.6682666086033565E-2</v>
      </c>
    </row>
    <row r="979" spans="2:4" x14ac:dyDescent="0.35">
      <c r="B979" s="10">
        <v>44757</v>
      </c>
      <c r="C979" s="11">
        <v>40.5</v>
      </c>
      <c r="D979" s="43">
        <f t="shared" si="15"/>
        <v>-4.9605311126273088E-2</v>
      </c>
    </row>
    <row r="980" spans="2:4" x14ac:dyDescent="0.35">
      <c r="B980" s="10">
        <v>44756</v>
      </c>
      <c r="C980" s="11">
        <v>43.17</v>
      </c>
      <c r="D980" s="43">
        <f t="shared" si="15"/>
        <v>-6.3843835454892764E-2</v>
      </c>
    </row>
    <row r="981" spans="2:4" x14ac:dyDescent="0.35">
      <c r="B981" s="10">
        <v>44755</v>
      </c>
      <c r="C981" s="11">
        <v>44.67</v>
      </c>
      <c r="D981" s="43">
        <f t="shared" si="15"/>
        <v>-3.4156325796641122E-2</v>
      </c>
    </row>
    <row r="982" spans="2:4" x14ac:dyDescent="0.35">
      <c r="B982" s="10">
        <v>44754</v>
      </c>
      <c r="C982" s="11">
        <v>44.6</v>
      </c>
      <c r="D982" s="43">
        <f t="shared" si="15"/>
        <v>1.5682763380089177E-3</v>
      </c>
    </row>
    <row r="983" spans="2:4" x14ac:dyDescent="0.35">
      <c r="B983" s="10">
        <v>44753</v>
      </c>
      <c r="C983" s="11">
        <v>45.34</v>
      </c>
      <c r="D983" s="43">
        <f t="shared" si="15"/>
        <v>-1.6455786053364563E-2</v>
      </c>
    </row>
    <row r="984" spans="2:4" x14ac:dyDescent="0.35">
      <c r="B984" s="10">
        <v>44750</v>
      </c>
      <c r="C984" s="11">
        <v>46.5</v>
      </c>
      <c r="D984" s="43">
        <f t="shared" si="15"/>
        <v>-2.5262667513927653E-2</v>
      </c>
    </row>
    <row r="985" spans="2:4" x14ac:dyDescent="0.35">
      <c r="B985" s="10">
        <v>44749</v>
      </c>
      <c r="C985" s="11">
        <v>45.35</v>
      </c>
      <c r="D985" s="43">
        <f t="shared" si="15"/>
        <v>2.504213603216492E-2</v>
      </c>
    </row>
    <row r="986" spans="2:4" x14ac:dyDescent="0.35">
      <c r="B986" s="10">
        <v>44748</v>
      </c>
      <c r="C986" s="11">
        <v>44.14</v>
      </c>
      <c r="D986" s="43">
        <f t="shared" si="15"/>
        <v>2.7043775732555335E-2</v>
      </c>
    </row>
    <row r="987" spans="2:4" x14ac:dyDescent="0.35">
      <c r="B987" s="10">
        <v>44747</v>
      </c>
      <c r="C987" s="11">
        <v>43.9</v>
      </c>
      <c r="D987" s="43">
        <f t="shared" si="15"/>
        <v>5.4520807474648025E-3</v>
      </c>
    </row>
    <row r="988" spans="2:4" x14ac:dyDescent="0.35">
      <c r="B988" s="10">
        <v>44743</v>
      </c>
      <c r="C988" s="11">
        <v>41</v>
      </c>
      <c r="D988" s="43">
        <f t="shared" si="15"/>
        <v>6.8342253376817916E-2</v>
      </c>
    </row>
    <row r="989" spans="2:4" x14ac:dyDescent="0.35">
      <c r="B989" s="10">
        <v>44742</v>
      </c>
      <c r="C989" s="11">
        <v>39.29</v>
      </c>
      <c r="D989" s="43">
        <f t="shared" si="15"/>
        <v>4.2602033133939426E-2</v>
      </c>
    </row>
    <row r="990" spans="2:4" x14ac:dyDescent="0.35">
      <c r="B990" s="10">
        <v>44741</v>
      </c>
      <c r="C990" s="11">
        <v>48.74</v>
      </c>
      <c r="D990" s="43">
        <f t="shared" si="15"/>
        <v>-0.21553001462669177</v>
      </c>
    </row>
    <row r="991" spans="2:4" x14ac:dyDescent="0.35">
      <c r="B991" s="10">
        <v>44740</v>
      </c>
      <c r="C991" s="11">
        <v>47.3</v>
      </c>
      <c r="D991" s="43">
        <f t="shared" si="15"/>
        <v>2.9989752699173089E-2</v>
      </c>
    </row>
    <row r="992" spans="2:4" x14ac:dyDescent="0.35">
      <c r="B992" s="10">
        <v>44739</v>
      </c>
      <c r="C992" s="11">
        <v>48.92</v>
      </c>
      <c r="D992" s="43">
        <f t="shared" si="15"/>
        <v>-3.3676015321084433E-2</v>
      </c>
    </row>
    <row r="993" spans="2:4" x14ac:dyDescent="0.35">
      <c r="B993" s="10">
        <v>44736</v>
      </c>
      <c r="C993" s="11">
        <v>47.25</v>
      </c>
      <c r="D993" s="43">
        <f t="shared" si="15"/>
        <v>3.4733656879219955E-2</v>
      </c>
    </row>
    <row r="994" spans="2:4" x14ac:dyDescent="0.35">
      <c r="B994" s="10">
        <v>44735</v>
      </c>
      <c r="C994" s="11">
        <v>47.47</v>
      </c>
      <c r="D994" s="43">
        <f t="shared" si="15"/>
        <v>-4.645278623474935E-3</v>
      </c>
    </row>
    <row r="995" spans="2:4" x14ac:dyDescent="0.35">
      <c r="B995" s="10">
        <v>44734</v>
      </c>
      <c r="C995" s="11">
        <v>42.97</v>
      </c>
      <c r="D995" s="43">
        <f t="shared" si="15"/>
        <v>9.9595734776322969E-2</v>
      </c>
    </row>
    <row r="996" spans="2:4" x14ac:dyDescent="0.35">
      <c r="B996" s="10">
        <v>44733</v>
      </c>
      <c r="C996" s="11">
        <v>43.06</v>
      </c>
      <c r="D996" s="43">
        <f t="shared" si="15"/>
        <v>-2.092294149313331E-3</v>
      </c>
    </row>
    <row r="997" spans="2:4" x14ac:dyDescent="0.35">
      <c r="B997" s="10">
        <v>44729</v>
      </c>
      <c r="C997" s="11">
        <v>40.58</v>
      </c>
      <c r="D997" s="43">
        <f t="shared" si="15"/>
        <v>5.9319157538548287E-2</v>
      </c>
    </row>
    <row r="998" spans="2:4" x14ac:dyDescent="0.35">
      <c r="B998" s="10">
        <v>44728</v>
      </c>
      <c r="C998" s="11">
        <v>39.65</v>
      </c>
      <c r="D998" s="43">
        <f t="shared" si="15"/>
        <v>2.3184386316811776E-2</v>
      </c>
    </row>
    <row r="999" spans="2:4" x14ac:dyDescent="0.35">
      <c r="B999" s="10">
        <v>44727</v>
      </c>
      <c r="C999" s="11">
        <v>41.11</v>
      </c>
      <c r="D999" s="43">
        <f t="shared" si="15"/>
        <v>-3.6160452828930115E-2</v>
      </c>
    </row>
    <row r="1000" spans="2:4" x14ac:dyDescent="0.35">
      <c r="B1000" s="10">
        <v>44726</v>
      </c>
      <c r="C1000" s="11">
        <v>39.18</v>
      </c>
      <c r="D1000" s="43">
        <f t="shared" si="15"/>
        <v>4.8084988393392356E-2</v>
      </c>
    </row>
    <row r="1001" spans="2:4" x14ac:dyDescent="0.35">
      <c r="B1001" s="10">
        <v>44725</v>
      </c>
      <c r="C1001" s="11">
        <v>39.29</v>
      </c>
      <c r="D1001" s="43">
        <f t="shared" si="15"/>
        <v>-2.8036210539736368E-3</v>
      </c>
    </row>
    <row r="1002" spans="2:4" x14ac:dyDescent="0.35">
      <c r="B1002" s="10">
        <v>44722</v>
      </c>
      <c r="C1002" s="11">
        <v>39.5</v>
      </c>
      <c r="D1002" s="43">
        <f t="shared" si="15"/>
        <v>-5.3306383367077948E-3</v>
      </c>
    </row>
    <row r="1003" spans="2:4" x14ac:dyDescent="0.35">
      <c r="B1003" s="10">
        <v>44721</v>
      </c>
      <c r="C1003" s="11">
        <v>38.840000000000003</v>
      </c>
      <c r="D1003" s="43">
        <f t="shared" si="15"/>
        <v>1.6850028483951951E-2</v>
      </c>
    </row>
    <row r="1004" spans="2:4" x14ac:dyDescent="0.35">
      <c r="B1004" s="10">
        <v>44720</v>
      </c>
      <c r="C1004" s="11">
        <v>41.68</v>
      </c>
      <c r="D1004" s="43">
        <f t="shared" si="15"/>
        <v>-7.0570754021987203E-2</v>
      </c>
    </row>
    <row r="1005" spans="2:4" x14ac:dyDescent="0.35">
      <c r="B1005" s="10">
        <v>44719</v>
      </c>
      <c r="C1005" s="11">
        <v>41.49</v>
      </c>
      <c r="D1005" s="43">
        <f t="shared" si="15"/>
        <v>4.5689631003349874E-3</v>
      </c>
    </row>
    <row r="1006" spans="2:4" x14ac:dyDescent="0.35">
      <c r="B1006" s="10">
        <v>44718</v>
      </c>
      <c r="C1006" s="11">
        <v>39.409999999999997</v>
      </c>
      <c r="D1006" s="43">
        <f t="shared" si="15"/>
        <v>5.143284313786433E-2</v>
      </c>
    </row>
    <row r="1007" spans="2:4" x14ac:dyDescent="0.35">
      <c r="B1007" s="10">
        <v>44715</v>
      </c>
      <c r="C1007" s="11">
        <v>42.89</v>
      </c>
      <c r="D1007" s="43">
        <f t="shared" si="15"/>
        <v>-8.4619107321876871E-2</v>
      </c>
    </row>
    <row r="1008" spans="2:4" x14ac:dyDescent="0.35">
      <c r="B1008" s="10">
        <v>44714</v>
      </c>
      <c r="C1008" s="11">
        <v>41.36</v>
      </c>
      <c r="D1008" s="43">
        <f t="shared" si="15"/>
        <v>3.6324468328615377E-2</v>
      </c>
    </row>
    <row r="1009" spans="2:4" x14ac:dyDescent="0.35">
      <c r="B1009" s="10">
        <v>44713</v>
      </c>
      <c r="C1009" s="11">
        <v>40.47</v>
      </c>
      <c r="D1009" s="43">
        <f t="shared" si="15"/>
        <v>2.1753271312399475E-2</v>
      </c>
    </row>
    <row r="1010" spans="2:4" x14ac:dyDescent="0.35">
      <c r="B1010" s="10">
        <v>44712</v>
      </c>
      <c r="C1010" s="11">
        <v>39.9</v>
      </c>
      <c r="D1010" s="43">
        <f t="shared" si="15"/>
        <v>1.4184634991956381E-2</v>
      </c>
    </row>
    <row r="1011" spans="2:4" x14ac:dyDescent="0.35">
      <c r="B1011" s="10">
        <v>44708</v>
      </c>
      <c r="C1011" s="11">
        <v>41.87</v>
      </c>
      <c r="D1011" s="43">
        <f t="shared" si="15"/>
        <v>-4.8193256135234182E-2</v>
      </c>
    </row>
    <row r="1012" spans="2:4" x14ac:dyDescent="0.35">
      <c r="B1012" s="10">
        <v>44707</v>
      </c>
      <c r="C1012" s="11">
        <v>38.99</v>
      </c>
      <c r="D1012" s="43">
        <f t="shared" si="15"/>
        <v>7.1264377036545937E-2</v>
      </c>
    </row>
    <row r="1013" spans="2:4" x14ac:dyDescent="0.35">
      <c r="B1013" s="10">
        <v>44706</v>
      </c>
      <c r="C1013" s="11">
        <v>38.75</v>
      </c>
      <c r="D1013" s="43">
        <f t="shared" si="15"/>
        <v>6.1744471951499201E-3</v>
      </c>
    </row>
    <row r="1014" spans="2:4" x14ac:dyDescent="0.35">
      <c r="B1014" s="10">
        <v>44705</v>
      </c>
      <c r="C1014" s="11">
        <v>38.24</v>
      </c>
      <c r="D1014" s="43">
        <f t="shared" si="15"/>
        <v>1.3248667616155325E-2</v>
      </c>
    </row>
    <row r="1015" spans="2:4" x14ac:dyDescent="0.35">
      <c r="B1015" s="10">
        <v>44704</v>
      </c>
      <c r="C1015" s="11">
        <v>39.85</v>
      </c>
      <c r="D1015" s="43">
        <f t="shared" si="15"/>
        <v>-4.1240317053023536E-2</v>
      </c>
    </row>
    <row r="1016" spans="2:4" x14ac:dyDescent="0.35">
      <c r="B1016" s="10">
        <v>44701</v>
      </c>
      <c r="C1016" s="11">
        <v>39.76</v>
      </c>
      <c r="D1016" s="43">
        <f t="shared" si="15"/>
        <v>2.2610234478509538E-3</v>
      </c>
    </row>
    <row r="1017" spans="2:4" x14ac:dyDescent="0.35">
      <c r="B1017" s="10">
        <v>44700</v>
      </c>
      <c r="C1017" s="11">
        <v>38.79</v>
      </c>
      <c r="D1017" s="43">
        <f t="shared" si="15"/>
        <v>2.4698900336497357E-2</v>
      </c>
    </row>
    <row r="1018" spans="2:4" x14ac:dyDescent="0.35">
      <c r="B1018" s="10">
        <v>44699</v>
      </c>
      <c r="C1018" s="11">
        <v>38.65</v>
      </c>
      <c r="D1018" s="43">
        <f t="shared" si="15"/>
        <v>3.6157064184447496E-3</v>
      </c>
    </row>
    <row r="1019" spans="2:4" x14ac:dyDescent="0.35">
      <c r="B1019" s="10">
        <v>44698</v>
      </c>
      <c r="C1019" s="11">
        <v>42.15</v>
      </c>
      <c r="D1019" s="43">
        <f t="shared" si="15"/>
        <v>-8.6687909414433439E-2</v>
      </c>
    </row>
    <row r="1020" spans="2:4" x14ac:dyDescent="0.35">
      <c r="B1020" s="10">
        <v>44697</v>
      </c>
      <c r="C1020" s="11">
        <v>43.4</v>
      </c>
      <c r="D1020" s="43">
        <f t="shared" si="15"/>
        <v>-2.922475665849467E-2</v>
      </c>
    </row>
    <row r="1021" spans="2:4" x14ac:dyDescent="0.35">
      <c r="B1021" s="10">
        <v>44694</v>
      </c>
      <c r="C1021" s="11">
        <v>42.01</v>
      </c>
      <c r="D1021" s="43">
        <f t="shared" si="15"/>
        <v>3.2551755925068503E-2</v>
      </c>
    </row>
    <row r="1022" spans="2:4" x14ac:dyDescent="0.35">
      <c r="B1022" s="10">
        <v>44693</v>
      </c>
      <c r="C1022" s="11">
        <v>38.35</v>
      </c>
      <c r="D1022" s="43">
        <f t="shared" si="15"/>
        <v>9.1153157368025414E-2</v>
      </c>
    </row>
    <row r="1023" spans="2:4" x14ac:dyDescent="0.35">
      <c r="B1023" s="10">
        <v>44692</v>
      </c>
      <c r="C1023" s="11">
        <v>36.9</v>
      </c>
      <c r="D1023" s="43">
        <f t="shared" si="15"/>
        <v>3.8542976766783844E-2</v>
      </c>
    </row>
    <row r="1024" spans="2:4" x14ac:dyDescent="0.35">
      <c r="B1024" s="10">
        <v>44691</v>
      </c>
      <c r="C1024" s="11">
        <v>37.89</v>
      </c>
      <c r="D1024" s="43">
        <f t="shared" si="15"/>
        <v>-2.647567398402802E-2</v>
      </c>
    </row>
    <row r="1025" spans="2:4" x14ac:dyDescent="0.35">
      <c r="B1025" s="10">
        <v>44690</v>
      </c>
      <c r="C1025" s="11">
        <v>34.97</v>
      </c>
      <c r="D1025" s="43">
        <f t="shared" si="15"/>
        <v>8.0196673955224951E-2</v>
      </c>
    </row>
    <row r="1026" spans="2:4" x14ac:dyDescent="0.35">
      <c r="B1026" s="10">
        <v>44687</v>
      </c>
      <c r="C1026" s="11">
        <v>38.06</v>
      </c>
      <c r="D1026" s="43">
        <f t="shared" si="15"/>
        <v>-8.4673310792719086E-2</v>
      </c>
    </row>
    <row r="1027" spans="2:4" x14ac:dyDescent="0.35">
      <c r="B1027" s="10">
        <v>44686</v>
      </c>
      <c r="C1027" s="11">
        <v>40.340000000000003</v>
      </c>
      <c r="D1027" s="43">
        <f t="shared" si="15"/>
        <v>-5.817967065806235E-2</v>
      </c>
    </row>
    <row r="1028" spans="2:4" x14ac:dyDescent="0.35">
      <c r="B1028" s="10">
        <v>44685</v>
      </c>
      <c r="C1028" s="11">
        <v>41.03</v>
      </c>
      <c r="D1028" s="43">
        <f t="shared" ref="D1028:D1091" si="16">IFERROR(LN(C1027/C1028),"")</f>
        <v>-1.6959973928028994E-2</v>
      </c>
    </row>
    <row r="1029" spans="2:4" x14ac:dyDescent="0.35">
      <c r="B1029" s="10">
        <v>44684</v>
      </c>
      <c r="C1029" s="11">
        <v>40</v>
      </c>
      <c r="D1029" s="43">
        <f t="shared" si="16"/>
        <v>2.5424052340158355E-2</v>
      </c>
    </row>
    <row r="1030" spans="2:4" x14ac:dyDescent="0.35">
      <c r="B1030" s="10">
        <v>44683</v>
      </c>
      <c r="C1030" s="11">
        <v>39.93</v>
      </c>
      <c r="D1030" s="43">
        <f t="shared" si="16"/>
        <v>1.7515330388062744E-3</v>
      </c>
    </row>
    <row r="1031" spans="2:4" x14ac:dyDescent="0.35">
      <c r="B1031" s="10">
        <v>44680</v>
      </c>
      <c r="C1031" s="11">
        <v>39.869999999999997</v>
      </c>
      <c r="D1031" s="43">
        <f t="shared" si="16"/>
        <v>1.5037596818662804E-3</v>
      </c>
    </row>
    <row r="1032" spans="2:4" x14ac:dyDescent="0.35">
      <c r="B1032" s="10">
        <v>44679</v>
      </c>
      <c r="C1032" s="11">
        <v>35.75</v>
      </c>
      <c r="D1032" s="43">
        <f t="shared" si="16"/>
        <v>0.10907389225324685</v>
      </c>
    </row>
    <row r="1033" spans="2:4" x14ac:dyDescent="0.35">
      <c r="B1033" s="10">
        <v>44678</v>
      </c>
      <c r="C1033" s="11">
        <v>34.69</v>
      </c>
      <c r="D1033" s="43">
        <f t="shared" si="16"/>
        <v>3.0098808158358456E-2</v>
      </c>
    </row>
    <row r="1034" spans="2:4" x14ac:dyDescent="0.35">
      <c r="B1034" s="10">
        <v>44677</v>
      </c>
      <c r="C1034" s="11">
        <v>33.93</v>
      </c>
      <c r="D1034" s="43">
        <f t="shared" si="16"/>
        <v>2.2151882185519597E-2</v>
      </c>
    </row>
    <row r="1035" spans="2:4" x14ac:dyDescent="0.35">
      <c r="B1035" s="10">
        <v>44676</v>
      </c>
      <c r="C1035" s="11">
        <v>36.5</v>
      </c>
      <c r="D1035" s="43">
        <f t="shared" si="16"/>
        <v>-7.3012681792307105E-2</v>
      </c>
    </row>
    <row r="1036" spans="2:4" x14ac:dyDescent="0.35">
      <c r="B1036" s="10">
        <v>44673</v>
      </c>
      <c r="C1036" s="11">
        <v>35.909999999999997</v>
      </c>
      <c r="D1036" s="43">
        <f t="shared" si="16"/>
        <v>1.6296452350454401E-2</v>
      </c>
    </row>
    <row r="1037" spans="2:4" x14ac:dyDescent="0.35">
      <c r="B1037" s="10">
        <v>44672</v>
      </c>
      <c r="C1037" s="11">
        <v>36.6</v>
      </c>
      <c r="D1037" s="43">
        <f t="shared" si="16"/>
        <v>-1.9032432169329195E-2</v>
      </c>
    </row>
    <row r="1038" spans="2:4" x14ac:dyDescent="0.35">
      <c r="B1038" s="10">
        <v>44671</v>
      </c>
      <c r="C1038" s="11">
        <v>37.81</v>
      </c>
      <c r="D1038" s="43">
        <f t="shared" si="16"/>
        <v>-3.2525377495520966E-2</v>
      </c>
    </row>
    <row r="1039" spans="2:4" x14ac:dyDescent="0.35">
      <c r="B1039" s="10">
        <v>44670</v>
      </c>
      <c r="C1039" s="11">
        <v>37.93</v>
      </c>
      <c r="D1039" s="43">
        <f t="shared" si="16"/>
        <v>-3.1687377979659711E-3</v>
      </c>
    </row>
    <row r="1040" spans="2:4" x14ac:dyDescent="0.35">
      <c r="B1040" s="10">
        <v>44669</v>
      </c>
      <c r="C1040" s="11">
        <v>38.25</v>
      </c>
      <c r="D1040" s="43">
        <f t="shared" si="16"/>
        <v>-8.4012045717372901E-3</v>
      </c>
    </row>
    <row r="1041" spans="2:4" x14ac:dyDescent="0.35">
      <c r="B1041" s="10">
        <v>44665</v>
      </c>
      <c r="C1041" s="11">
        <v>39.56</v>
      </c>
      <c r="D1041" s="43">
        <f t="shared" si="16"/>
        <v>-3.3674946481966533E-2</v>
      </c>
    </row>
    <row r="1042" spans="2:4" x14ac:dyDescent="0.35">
      <c r="B1042" s="10">
        <v>44664</v>
      </c>
      <c r="C1042" s="11">
        <v>40.97</v>
      </c>
      <c r="D1042" s="43">
        <f t="shared" si="16"/>
        <v>-3.5021584804268216E-2</v>
      </c>
    </row>
    <row r="1043" spans="2:4" x14ac:dyDescent="0.35">
      <c r="B1043" s="10">
        <v>44663</v>
      </c>
      <c r="C1043" s="11">
        <v>40.78</v>
      </c>
      <c r="D1043" s="43">
        <f t="shared" si="16"/>
        <v>4.6483264124704627E-3</v>
      </c>
    </row>
    <row r="1044" spans="2:4" x14ac:dyDescent="0.35">
      <c r="B1044" s="10">
        <v>44662</v>
      </c>
      <c r="C1044" s="11">
        <v>41.07</v>
      </c>
      <c r="D1044" s="43">
        <f t="shared" si="16"/>
        <v>-7.0861628221580708E-3</v>
      </c>
    </row>
    <row r="1045" spans="2:4" x14ac:dyDescent="0.35">
      <c r="B1045" s="10">
        <v>44659</v>
      </c>
      <c r="C1045" s="11">
        <v>41.69</v>
      </c>
      <c r="D1045" s="43">
        <f t="shared" si="16"/>
        <v>-1.4983363924238279E-2</v>
      </c>
    </row>
    <row r="1046" spans="2:4" x14ac:dyDescent="0.35">
      <c r="B1046" s="10">
        <v>44658</v>
      </c>
      <c r="C1046" s="11">
        <v>43.19</v>
      </c>
      <c r="D1046" s="43">
        <f t="shared" si="16"/>
        <v>-3.5347695079904241E-2</v>
      </c>
    </row>
    <row r="1047" spans="2:4" x14ac:dyDescent="0.35">
      <c r="B1047" s="10">
        <v>44657</v>
      </c>
      <c r="C1047" s="11">
        <v>42.54</v>
      </c>
      <c r="D1047" s="43">
        <f t="shared" si="16"/>
        <v>1.5164177200518486E-2</v>
      </c>
    </row>
    <row r="1048" spans="2:4" x14ac:dyDescent="0.35">
      <c r="B1048" s="10">
        <v>44656</v>
      </c>
      <c r="C1048" s="11">
        <v>40.35</v>
      </c>
      <c r="D1048" s="43">
        <f t="shared" si="16"/>
        <v>5.2853415056133349E-2</v>
      </c>
    </row>
    <row r="1049" spans="2:4" x14ac:dyDescent="0.35">
      <c r="B1049" s="10">
        <v>44655</v>
      </c>
      <c r="C1049" s="11">
        <v>40.04</v>
      </c>
      <c r="D1049" s="43">
        <f t="shared" si="16"/>
        <v>7.712440268938121E-3</v>
      </c>
    </row>
    <row r="1050" spans="2:4" x14ac:dyDescent="0.35">
      <c r="B1050" s="10">
        <v>44652</v>
      </c>
      <c r="C1050" s="11">
        <v>38.380000000000003</v>
      </c>
      <c r="D1050" s="43">
        <f t="shared" si="16"/>
        <v>4.2342463867465797E-2</v>
      </c>
    </row>
    <row r="1051" spans="2:4" x14ac:dyDescent="0.35">
      <c r="B1051" s="10">
        <v>44651</v>
      </c>
      <c r="C1051" s="11">
        <v>36.81</v>
      </c>
      <c r="D1051" s="43">
        <f t="shared" si="16"/>
        <v>4.1766943188624048E-2</v>
      </c>
    </row>
    <row r="1052" spans="2:4" x14ac:dyDescent="0.35">
      <c r="B1052" s="10">
        <v>44650</v>
      </c>
      <c r="C1052" s="11">
        <v>36.53</v>
      </c>
      <c r="D1052" s="43">
        <f t="shared" si="16"/>
        <v>7.6357065837385687E-3</v>
      </c>
    </row>
    <row r="1053" spans="2:4" x14ac:dyDescent="0.35">
      <c r="B1053" s="10">
        <v>44649</v>
      </c>
      <c r="C1053" s="11">
        <v>38.42</v>
      </c>
      <c r="D1053" s="43">
        <f t="shared" si="16"/>
        <v>-5.0444316533219437E-2</v>
      </c>
    </row>
    <row r="1054" spans="2:4" x14ac:dyDescent="0.35">
      <c r="B1054" s="10">
        <v>44648</v>
      </c>
      <c r="C1054" s="11">
        <v>36.76</v>
      </c>
      <c r="D1054" s="43">
        <f t="shared" si="16"/>
        <v>4.4167859852924353E-2</v>
      </c>
    </row>
    <row r="1055" spans="2:4" x14ac:dyDescent="0.35">
      <c r="B1055" s="10">
        <v>44645</v>
      </c>
      <c r="C1055" s="11">
        <v>36.47</v>
      </c>
      <c r="D1055" s="43">
        <f t="shared" si="16"/>
        <v>7.9202926668975066E-3</v>
      </c>
    </row>
    <row r="1056" spans="2:4" x14ac:dyDescent="0.35">
      <c r="B1056" s="10">
        <v>44644</v>
      </c>
      <c r="C1056" s="11">
        <v>37.67</v>
      </c>
      <c r="D1056" s="43">
        <f t="shared" si="16"/>
        <v>-3.2374016883360911E-2</v>
      </c>
    </row>
    <row r="1057" spans="2:4" x14ac:dyDescent="0.35">
      <c r="B1057" s="10">
        <v>44643</v>
      </c>
      <c r="C1057" s="11">
        <v>37.18</v>
      </c>
      <c r="D1057" s="43">
        <f t="shared" si="16"/>
        <v>1.309303941065172E-2</v>
      </c>
    </row>
    <row r="1058" spans="2:4" x14ac:dyDescent="0.35">
      <c r="B1058" s="10">
        <v>44642</v>
      </c>
      <c r="C1058" s="11">
        <v>36.299999999999997</v>
      </c>
      <c r="D1058" s="43">
        <f t="shared" si="16"/>
        <v>2.3953241022493015E-2</v>
      </c>
    </row>
    <row r="1059" spans="2:4" x14ac:dyDescent="0.35">
      <c r="B1059" s="10">
        <v>44641</v>
      </c>
      <c r="C1059" s="11">
        <v>35.57</v>
      </c>
      <c r="D1059" s="43">
        <f t="shared" si="16"/>
        <v>2.0315155310441153E-2</v>
      </c>
    </row>
    <row r="1060" spans="2:4" x14ac:dyDescent="0.35">
      <c r="B1060" s="10">
        <v>44638</v>
      </c>
      <c r="C1060" s="11">
        <v>37.32</v>
      </c>
      <c r="D1060" s="43">
        <f t="shared" si="16"/>
        <v>-4.8026790018779242E-2</v>
      </c>
    </row>
    <row r="1061" spans="2:4" x14ac:dyDescent="0.35">
      <c r="B1061" s="10">
        <v>44637</v>
      </c>
      <c r="C1061" s="11">
        <v>37.049999999999997</v>
      </c>
      <c r="D1061" s="43">
        <f t="shared" si="16"/>
        <v>7.2610242370472729E-3</v>
      </c>
    </row>
    <row r="1062" spans="2:4" x14ac:dyDescent="0.35">
      <c r="B1062" s="10">
        <v>44636</v>
      </c>
      <c r="C1062" s="11">
        <v>34.72</v>
      </c>
      <c r="D1062" s="43">
        <f t="shared" si="16"/>
        <v>6.4952461949946347E-2</v>
      </c>
    </row>
    <row r="1063" spans="2:4" x14ac:dyDescent="0.35">
      <c r="B1063" s="10">
        <v>44635</v>
      </c>
      <c r="C1063" s="11">
        <v>33.94</v>
      </c>
      <c r="D1063" s="43">
        <f t="shared" si="16"/>
        <v>2.2721629986069209E-2</v>
      </c>
    </row>
    <row r="1064" spans="2:4" x14ac:dyDescent="0.35">
      <c r="B1064" s="10">
        <v>44634</v>
      </c>
      <c r="C1064" s="11">
        <v>34.69</v>
      </c>
      <c r="D1064" s="43">
        <f t="shared" si="16"/>
        <v>-2.1857201175578087E-2</v>
      </c>
    </row>
    <row r="1065" spans="2:4" x14ac:dyDescent="0.35">
      <c r="B1065" s="10">
        <v>44631</v>
      </c>
      <c r="C1065" s="11">
        <v>37.5</v>
      </c>
      <c r="D1065" s="43">
        <f t="shared" si="16"/>
        <v>-7.7889471994706874E-2</v>
      </c>
    </row>
    <row r="1066" spans="2:4" x14ac:dyDescent="0.35">
      <c r="B1066" s="10">
        <v>44630</v>
      </c>
      <c r="C1066" s="11">
        <v>37.869999999999997</v>
      </c>
      <c r="D1066" s="43">
        <f t="shared" si="16"/>
        <v>-9.8183089373382448E-3</v>
      </c>
    </row>
    <row r="1067" spans="2:4" x14ac:dyDescent="0.35">
      <c r="B1067" s="10">
        <v>44629</v>
      </c>
      <c r="C1067" s="11">
        <v>38.130000000000003</v>
      </c>
      <c r="D1067" s="43">
        <f t="shared" si="16"/>
        <v>-6.8421319557690416E-3</v>
      </c>
    </row>
    <row r="1068" spans="2:4" x14ac:dyDescent="0.35">
      <c r="B1068" s="10">
        <v>44628</v>
      </c>
      <c r="C1068" s="11">
        <v>35.700000000000003</v>
      </c>
      <c r="D1068" s="43">
        <f t="shared" si="16"/>
        <v>6.5850685083878965E-2</v>
      </c>
    </row>
    <row r="1069" spans="2:4" x14ac:dyDescent="0.35">
      <c r="B1069" s="10">
        <v>44627</v>
      </c>
      <c r="C1069" s="11">
        <v>36.83</v>
      </c>
      <c r="D1069" s="43">
        <f t="shared" si="16"/>
        <v>-3.1162041671380467E-2</v>
      </c>
    </row>
    <row r="1070" spans="2:4" x14ac:dyDescent="0.35">
      <c r="B1070" s="10">
        <v>44624</v>
      </c>
      <c r="C1070" s="11">
        <v>35.79</v>
      </c>
      <c r="D1070" s="43">
        <f t="shared" si="16"/>
        <v>2.8644205679039515E-2</v>
      </c>
    </row>
    <row r="1071" spans="2:4" x14ac:dyDescent="0.35">
      <c r="B1071" s="10">
        <v>44623</v>
      </c>
      <c r="C1071" s="11">
        <v>36.56</v>
      </c>
      <c r="D1071" s="43">
        <f t="shared" si="16"/>
        <v>-2.1286221808014951E-2</v>
      </c>
    </row>
    <row r="1072" spans="2:4" x14ac:dyDescent="0.35">
      <c r="B1072" s="10">
        <v>44622</v>
      </c>
      <c r="C1072" s="11">
        <v>37.630000000000003</v>
      </c>
      <c r="D1072" s="43">
        <f t="shared" si="16"/>
        <v>-2.8846858019396654E-2</v>
      </c>
    </row>
    <row r="1073" spans="2:4" x14ac:dyDescent="0.35">
      <c r="B1073" s="10">
        <v>44621</v>
      </c>
      <c r="C1073" s="11">
        <v>35.950000000000003</v>
      </c>
      <c r="D1073" s="43">
        <f t="shared" si="16"/>
        <v>4.5672520438290162E-2</v>
      </c>
    </row>
    <row r="1074" spans="2:4" x14ac:dyDescent="0.35">
      <c r="B1074" s="10">
        <v>44620</v>
      </c>
      <c r="C1074" s="11">
        <v>35.32</v>
      </c>
      <c r="D1074" s="43">
        <f t="shared" si="16"/>
        <v>1.7679708431296608E-2</v>
      </c>
    </row>
    <row r="1075" spans="2:4" x14ac:dyDescent="0.35">
      <c r="B1075" s="10">
        <v>44617</v>
      </c>
      <c r="C1075" s="11">
        <v>35.020000000000003</v>
      </c>
      <c r="D1075" s="43">
        <f t="shared" si="16"/>
        <v>8.5300488780533906E-3</v>
      </c>
    </row>
    <row r="1076" spans="2:4" x14ac:dyDescent="0.35">
      <c r="B1076" s="10">
        <v>44616</v>
      </c>
      <c r="C1076" s="11">
        <v>33.950000000000003</v>
      </c>
      <c r="D1076" s="43">
        <f t="shared" si="16"/>
        <v>3.1030472853000764E-2</v>
      </c>
    </row>
    <row r="1077" spans="2:4" x14ac:dyDescent="0.35">
      <c r="B1077" s="10">
        <v>44615</v>
      </c>
      <c r="C1077" s="11">
        <v>31.35</v>
      </c>
      <c r="D1077" s="43">
        <f t="shared" si="16"/>
        <v>7.9674586925775559E-2</v>
      </c>
    </row>
    <row r="1078" spans="2:4" x14ac:dyDescent="0.35">
      <c r="B1078" s="10">
        <v>44614</v>
      </c>
      <c r="C1078" s="11">
        <v>33.69</v>
      </c>
      <c r="D1078" s="43">
        <f t="shared" si="16"/>
        <v>-7.1986790339531703E-2</v>
      </c>
    </row>
    <row r="1079" spans="2:4" x14ac:dyDescent="0.35">
      <c r="B1079" s="10">
        <v>44610</v>
      </c>
      <c r="C1079" s="11">
        <v>34.9</v>
      </c>
      <c r="D1079" s="43">
        <f t="shared" si="16"/>
        <v>-3.5285771789919949E-2</v>
      </c>
    </row>
    <row r="1080" spans="2:4" x14ac:dyDescent="0.35">
      <c r="B1080" s="10">
        <v>44609</v>
      </c>
      <c r="C1080" s="11">
        <v>35.22</v>
      </c>
      <c r="D1080" s="43">
        <f t="shared" si="16"/>
        <v>-9.1272738596786095E-3</v>
      </c>
    </row>
    <row r="1081" spans="2:4" x14ac:dyDescent="0.35">
      <c r="B1081" s="10">
        <v>44608</v>
      </c>
      <c r="C1081" s="11">
        <v>36.72</v>
      </c>
      <c r="D1081" s="43">
        <f t="shared" si="16"/>
        <v>-4.1707462684229597E-2</v>
      </c>
    </row>
    <row r="1082" spans="2:4" x14ac:dyDescent="0.35">
      <c r="B1082" s="10">
        <v>44607</v>
      </c>
      <c r="C1082" s="11">
        <v>37.58</v>
      </c>
      <c r="D1082" s="43">
        <f t="shared" si="16"/>
        <v>-2.3150428233029506E-2</v>
      </c>
    </row>
    <row r="1083" spans="2:4" x14ac:dyDescent="0.35">
      <c r="B1083" s="10">
        <v>44606</v>
      </c>
      <c r="C1083" s="11">
        <v>40.340000000000003</v>
      </c>
      <c r="D1083" s="43">
        <f t="shared" si="16"/>
        <v>-7.0871538540746584E-2</v>
      </c>
    </row>
    <row r="1084" spans="2:4" x14ac:dyDescent="0.35">
      <c r="B1084" s="10">
        <v>44603</v>
      </c>
      <c r="C1084" s="11">
        <v>40.32</v>
      </c>
      <c r="D1084" s="43">
        <f t="shared" si="16"/>
        <v>4.9590876295264657E-4</v>
      </c>
    </row>
    <row r="1085" spans="2:4" x14ac:dyDescent="0.35">
      <c r="B1085" s="10">
        <v>44602</v>
      </c>
      <c r="C1085" s="11">
        <v>39.32</v>
      </c>
      <c r="D1085" s="43">
        <f t="shared" si="16"/>
        <v>2.5114328484147418E-2</v>
      </c>
    </row>
    <row r="1086" spans="2:4" x14ac:dyDescent="0.35">
      <c r="B1086" s="10">
        <v>44601</v>
      </c>
      <c r="C1086" s="11">
        <v>39.119999999999997</v>
      </c>
      <c r="D1086" s="43">
        <f t="shared" si="16"/>
        <v>5.0994501123492611E-3</v>
      </c>
    </row>
    <row r="1087" spans="2:4" x14ac:dyDescent="0.35">
      <c r="B1087" s="10">
        <v>44600</v>
      </c>
      <c r="C1087" s="11">
        <v>36.72</v>
      </c>
      <c r="D1087" s="43">
        <f t="shared" si="16"/>
        <v>6.3312279414326864E-2</v>
      </c>
    </row>
    <row r="1088" spans="2:4" x14ac:dyDescent="0.35">
      <c r="B1088" s="10">
        <v>44599</v>
      </c>
      <c r="C1088" s="11">
        <v>34.950000000000003</v>
      </c>
      <c r="D1088" s="43">
        <f t="shared" si="16"/>
        <v>4.9403097072470328E-2</v>
      </c>
    </row>
    <row r="1089" spans="2:4" x14ac:dyDescent="0.35">
      <c r="B1089" s="10">
        <v>44596</v>
      </c>
      <c r="C1089" s="11">
        <v>33.700000000000003</v>
      </c>
      <c r="D1089" s="43">
        <f t="shared" si="16"/>
        <v>3.6420631321503229E-2</v>
      </c>
    </row>
    <row r="1090" spans="2:4" x14ac:dyDescent="0.35">
      <c r="B1090" s="10">
        <v>44595</v>
      </c>
      <c r="C1090" s="11">
        <v>32.090000000000003</v>
      </c>
      <c r="D1090" s="43">
        <f t="shared" si="16"/>
        <v>4.8953382236550512E-2</v>
      </c>
    </row>
    <row r="1091" spans="2:4" x14ac:dyDescent="0.35">
      <c r="B1091" s="10">
        <v>44594</v>
      </c>
      <c r="C1091" s="11">
        <v>33.03</v>
      </c>
      <c r="D1091" s="43">
        <f t="shared" si="16"/>
        <v>-2.8871784280932723E-2</v>
      </c>
    </row>
    <row r="1092" spans="2:4" x14ac:dyDescent="0.35">
      <c r="B1092" s="10">
        <v>44593</v>
      </c>
      <c r="C1092" s="11">
        <v>33.57</v>
      </c>
      <c r="D1092" s="43">
        <f t="shared" ref="D1092:D1155" si="17">IFERROR(LN(C1091/C1092),"")</f>
        <v>-1.621657158924528E-2</v>
      </c>
    </row>
    <row r="1093" spans="2:4" x14ac:dyDescent="0.35">
      <c r="B1093" s="10">
        <v>44592</v>
      </c>
      <c r="C1093" s="11">
        <v>33.19</v>
      </c>
      <c r="D1093" s="43">
        <f t="shared" si="17"/>
        <v>1.138418526006044E-2</v>
      </c>
    </row>
    <row r="1094" spans="2:4" x14ac:dyDescent="0.35">
      <c r="B1094" s="10">
        <v>44589</v>
      </c>
      <c r="C1094" s="11">
        <v>31.56</v>
      </c>
      <c r="D1094" s="43">
        <f t="shared" si="17"/>
        <v>5.0358129754209807E-2</v>
      </c>
    </row>
    <row r="1095" spans="2:4" x14ac:dyDescent="0.35">
      <c r="B1095" s="10">
        <v>44588</v>
      </c>
      <c r="C1095" s="11">
        <v>29.74</v>
      </c>
      <c r="D1095" s="43">
        <f t="shared" si="17"/>
        <v>5.9397554945664406E-2</v>
      </c>
    </row>
    <row r="1096" spans="2:4" x14ac:dyDescent="0.35">
      <c r="B1096" s="10">
        <v>44587</v>
      </c>
      <c r="C1096" s="11">
        <v>30.24</v>
      </c>
      <c r="D1096" s="43">
        <f t="shared" si="17"/>
        <v>-1.6672610279323211E-2</v>
      </c>
    </row>
    <row r="1097" spans="2:4" x14ac:dyDescent="0.35">
      <c r="B1097" s="10">
        <v>44586</v>
      </c>
      <c r="C1097" s="11">
        <v>30.48</v>
      </c>
      <c r="D1097" s="43">
        <f t="shared" si="17"/>
        <v>-7.9051795071133739E-3</v>
      </c>
    </row>
    <row r="1098" spans="2:4" x14ac:dyDescent="0.35">
      <c r="B1098" s="10">
        <v>44585</v>
      </c>
      <c r="C1098" s="11">
        <v>31.47</v>
      </c>
      <c r="D1098" s="43">
        <f t="shared" si="17"/>
        <v>-3.1963980257869951E-2</v>
      </c>
    </row>
    <row r="1099" spans="2:4" x14ac:dyDescent="0.35">
      <c r="B1099" s="10">
        <v>44582</v>
      </c>
      <c r="C1099" s="11">
        <v>30.3</v>
      </c>
      <c r="D1099" s="43">
        <f t="shared" si="17"/>
        <v>3.788699856099207E-2</v>
      </c>
    </row>
    <row r="1100" spans="2:4" x14ac:dyDescent="0.35">
      <c r="B1100" s="10">
        <v>44581</v>
      </c>
      <c r="C1100" s="11">
        <v>30.81</v>
      </c>
      <c r="D1100" s="43">
        <f t="shared" si="17"/>
        <v>-1.6691600093253003E-2</v>
      </c>
    </row>
    <row r="1101" spans="2:4" x14ac:dyDescent="0.35">
      <c r="B1101" s="10">
        <v>44580</v>
      </c>
      <c r="C1101" s="11">
        <v>31.71</v>
      </c>
      <c r="D1101" s="43">
        <f t="shared" si="17"/>
        <v>-2.8792775941679487E-2</v>
      </c>
    </row>
    <row r="1102" spans="2:4" x14ac:dyDescent="0.35">
      <c r="B1102" s="10">
        <v>44579</v>
      </c>
      <c r="C1102" s="11">
        <v>32.380000000000003</v>
      </c>
      <c r="D1102" s="43">
        <f t="shared" si="17"/>
        <v>-2.0908859699233149E-2</v>
      </c>
    </row>
    <row r="1103" spans="2:4" x14ac:dyDescent="0.35">
      <c r="B1103" s="10">
        <v>44575</v>
      </c>
      <c r="C1103" s="11">
        <v>33</v>
      </c>
      <c r="D1103" s="43">
        <f t="shared" si="17"/>
        <v>-1.8966613216991061E-2</v>
      </c>
    </row>
    <row r="1104" spans="2:4" x14ac:dyDescent="0.35">
      <c r="B1104" s="10">
        <v>44574</v>
      </c>
      <c r="C1104" s="11">
        <v>32.880000000000003</v>
      </c>
      <c r="D1104" s="43">
        <f t="shared" si="17"/>
        <v>3.6429912785010087E-3</v>
      </c>
    </row>
    <row r="1105" spans="2:4" x14ac:dyDescent="0.35">
      <c r="B1105" s="10">
        <v>44573</v>
      </c>
      <c r="C1105" s="11">
        <v>34.119999999999997</v>
      </c>
      <c r="D1105" s="43">
        <f t="shared" si="17"/>
        <v>-3.7019152435499025E-2</v>
      </c>
    </row>
    <row r="1106" spans="2:4" x14ac:dyDescent="0.35">
      <c r="B1106" s="10">
        <v>44572</v>
      </c>
      <c r="C1106" s="11">
        <v>34.82</v>
      </c>
      <c r="D1106" s="43">
        <f t="shared" si="17"/>
        <v>-2.0308211716564689E-2</v>
      </c>
    </row>
    <row r="1107" spans="2:4" x14ac:dyDescent="0.35">
      <c r="B1107" s="10">
        <v>44571</v>
      </c>
      <c r="C1107" s="11">
        <v>35.799999999999997</v>
      </c>
      <c r="D1107" s="43">
        <f t="shared" si="17"/>
        <v>-2.7755959066611522E-2</v>
      </c>
    </row>
    <row r="1108" spans="2:4" x14ac:dyDescent="0.35">
      <c r="B1108" s="10">
        <v>44568</v>
      </c>
      <c r="C1108" s="11">
        <v>35.15</v>
      </c>
      <c r="D1108" s="43">
        <f t="shared" si="17"/>
        <v>1.8323275149980733E-2</v>
      </c>
    </row>
    <row r="1109" spans="2:4" x14ac:dyDescent="0.35">
      <c r="B1109" s="10">
        <v>44567</v>
      </c>
      <c r="C1109" s="11">
        <v>38.78</v>
      </c>
      <c r="D1109" s="43">
        <f t="shared" si="17"/>
        <v>-9.8280031557831937E-2</v>
      </c>
    </row>
    <row r="1110" spans="2:4" x14ac:dyDescent="0.35">
      <c r="B1110" s="10">
        <v>44566</v>
      </c>
      <c r="C1110" s="11">
        <v>39.42</v>
      </c>
      <c r="D1110" s="43">
        <f t="shared" si="17"/>
        <v>-1.6368651910068397E-2</v>
      </c>
    </row>
    <row r="1111" spans="2:4" x14ac:dyDescent="0.35">
      <c r="B1111" s="10">
        <v>44565</v>
      </c>
      <c r="C1111" s="11">
        <v>42.83</v>
      </c>
      <c r="D1111" s="43">
        <f t="shared" si="17"/>
        <v>-8.2965489902705358E-2</v>
      </c>
    </row>
    <row r="1112" spans="2:4" x14ac:dyDescent="0.35">
      <c r="B1112" s="10">
        <v>44564</v>
      </c>
      <c r="C1112" s="11">
        <v>46</v>
      </c>
      <c r="D1112" s="43">
        <f t="shared" si="17"/>
        <v>-7.1402604861815405E-2</v>
      </c>
    </row>
    <row r="1113" spans="2:4" x14ac:dyDescent="0.35">
      <c r="B1113" s="10">
        <v>44561</v>
      </c>
      <c r="C1113" s="11">
        <v>45.58</v>
      </c>
      <c r="D1113" s="43">
        <f t="shared" si="17"/>
        <v>9.1723726715568291E-3</v>
      </c>
    </row>
    <row r="1114" spans="2:4" x14ac:dyDescent="0.35">
      <c r="B1114" s="10">
        <v>44560</v>
      </c>
      <c r="C1114" s="11">
        <v>45.6</v>
      </c>
      <c r="D1114" s="43">
        <f t="shared" si="17"/>
        <v>-4.3869270280225353E-4</v>
      </c>
    </row>
    <row r="1115" spans="2:4" x14ac:dyDescent="0.35">
      <c r="B1115" s="10">
        <v>44559</v>
      </c>
      <c r="C1115" s="11">
        <v>46.38</v>
      </c>
      <c r="D1115" s="43">
        <f t="shared" si="17"/>
        <v>-1.69606153070452E-2</v>
      </c>
    </row>
    <row r="1116" spans="2:4" x14ac:dyDescent="0.35">
      <c r="B1116" s="10">
        <v>44558</v>
      </c>
      <c r="C1116" s="11">
        <v>45.54</v>
      </c>
      <c r="D1116" s="43">
        <f t="shared" si="17"/>
        <v>1.8277271191792076E-2</v>
      </c>
    </row>
    <row r="1117" spans="2:4" x14ac:dyDescent="0.35">
      <c r="B1117" s="10">
        <v>44557</v>
      </c>
      <c r="C1117" s="11">
        <v>45.85</v>
      </c>
      <c r="D1117" s="43">
        <f t="shared" si="17"/>
        <v>-6.7841380668803653E-3</v>
      </c>
    </row>
    <row r="1118" spans="2:4" x14ac:dyDescent="0.35">
      <c r="B1118" s="10">
        <v>44553</v>
      </c>
      <c r="C1118" s="11">
        <v>44.66</v>
      </c>
      <c r="D1118" s="43">
        <f t="shared" si="17"/>
        <v>2.6296952290462118E-2</v>
      </c>
    </row>
    <row r="1119" spans="2:4" x14ac:dyDescent="0.35">
      <c r="B1119" s="10">
        <v>44552</v>
      </c>
      <c r="C1119" s="11">
        <v>44.02</v>
      </c>
      <c r="D1119" s="43">
        <f t="shared" si="17"/>
        <v>1.443417031369607E-2</v>
      </c>
    </row>
    <row r="1120" spans="2:4" x14ac:dyDescent="0.35">
      <c r="B1120" s="10">
        <v>44551</v>
      </c>
      <c r="C1120" s="11">
        <v>40.83</v>
      </c>
      <c r="D1120" s="43">
        <f t="shared" si="17"/>
        <v>7.5226970766831422E-2</v>
      </c>
    </row>
    <row r="1121" spans="2:4" x14ac:dyDescent="0.35">
      <c r="B1121" s="10">
        <v>44550</v>
      </c>
      <c r="C1121" s="11">
        <v>39.5</v>
      </c>
      <c r="D1121" s="43">
        <f t="shared" si="17"/>
        <v>3.3116433424408211E-2</v>
      </c>
    </row>
    <row r="1122" spans="2:4" x14ac:dyDescent="0.35">
      <c r="B1122" s="10">
        <v>44547</v>
      </c>
      <c r="C1122" s="11">
        <v>38.28</v>
      </c>
      <c r="D1122" s="43">
        <f t="shared" si="17"/>
        <v>3.1373105322322598E-2</v>
      </c>
    </row>
    <row r="1123" spans="2:4" x14ac:dyDescent="0.35">
      <c r="B1123" s="10">
        <v>44546</v>
      </c>
      <c r="C1123" s="11">
        <v>36.520000000000003</v>
      </c>
      <c r="D1123" s="43">
        <f t="shared" si="17"/>
        <v>4.7067510857985731E-2</v>
      </c>
    </row>
    <row r="1124" spans="2:4" x14ac:dyDescent="0.35">
      <c r="B1124" s="10">
        <v>44545</v>
      </c>
      <c r="C1124" s="11">
        <v>38.61</v>
      </c>
      <c r="D1124" s="43">
        <f t="shared" si="17"/>
        <v>-5.5651254549377145E-2</v>
      </c>
    </row>
    <row r="1125" spans="2:4" x14ac:dyDescent="0.35">
      <c r="B1125" s="10">
        <v>44544</v>
      </c>
      <c r="C1125" s="11">
        <v>37.119999999999997</v>
      </c>
      <c r="D1125" s="43">
        <f t="shared" si="17"/>
        <v>3.9355402358145185E-2</v>
      </c>
    </row>
    <row r="1126" spans="2:4" x14ac:dyDescent="0.35">
      <c r="B1126" s="10">
        <v>44543</v>
      </c>
      <c r="C1126" s="11">
        <v>36.47</v>
      </c>
      <c r="D1126" s="43">
        <f t="shared" si="17"/>
        <v>1.7665903097410927E-2</v>
      </c>
    </row>
    <row r="1127" spans="2:4" x14ac:dyDescent="0.35">
      <c r="B1127" s="10">
        <v>44540</v>
      </c>
      <c r="C1127" s="11">
        <v>36.1</v>
      </c>
      <c r="D1127" s="43">
        <f t="shared" si="17"/>
        <v>1.0197139481753501E-2</v>
      </c>
    </row>
    <row r="1128" spans="2:4" x14ac:dyDescent="0.35">
      <c r="B1128" s="10">
        <v>44539</v>
      </c>
      <c r="C1128" s="11">
        <v>35.03</v>
      </c>
      <c r="D1128" s="43">
        <f t="shared" si="17"/>
        <v>3.0088028129439719E-2</v>
      </c>
    </row>
    <row r="1129" spans="2:4" x14ac:dyDescent="0.35">
      <c r="B1129" s="10">
        <v>44538</v>
      </c>
      <c r="C1129" s="11">
        <v>37.049999999999997</v>
      </c>
      <c r="D1129" s="43">
        <f t="shared" si="17"/>
        <v>-5.6063514532700309E-2</v>
      </c>
    </row>
    <row r="1130" spans="2:4" x14ac:dyDescent="0.35">
      <c r="B1130" s="10">
        <v>44537</v>
      </c>
      <c r="C1130" s="11">
        <v>37.47</v>
      </c>
      <c r="D1130" s="43">
        <f t="shared" si="17"/>
        <v>-1.1272261063500096E-2</v>
      </c>
    </row>
    <row r="1131" spans="2:4" x14ac:dyDescent="0.35">
      <c r="B1131" s="10">
        <v>44536</v>
      </c>
      <c r="C1131" s="11">
        <v>36.159999999999997</v>
      </c>
      <c r="D1131" s="43">
        <f t="shared" si="17"/>
        <v>3.558707728162027E-2</v>
      </c>
    </row>
    <row r="1132" spans="2:4" x14ac:dyDescent="0.35">
      <c r="B1132" s="10">
        <v>44533</v>
      </c>
      <c r="C1132" s="11">
        <v>35.5</v>
      </c>
      <c r="D1132" s="43">
        <f t="shared" si="17"/>
        <v>1.8420839042605438E-2</v>
      </c>
    </row>
    <row r="1133" spans="2:4" x14ac:dyDescent="0.35">
      <c r="B1133" s="10">
        <v>44532</v>
      </c>
      <c r="C1133" s="11">
        <v>38.15</v>
      </c>
      <c r="D1133" s="43">
        <f t="shared" si="17"/>
        <v>-7.1993061249095824E-2</v>
      </c>
    </row>
    <row r="1134" spans="2:4" x14ac:dyDescent="0.35">
      <c r="B1134" s="10">
        <v>44531</v>
      </c>
      <c r="C1134" s="11">
        <v>36.909999999999997</v>
      </c>
      <c r="D1134" s="43">
        <f t="shared" si="17"/>
        <v>3.3043240688558954E-2</v>
      </c>
    </row>
    <row r="1135" spans="2:4" x14ac:dyDescent="0.35">
      <c r="B1135" s="10">
        <v>44530</v>
      </c>
      <c r="C1135" s="11">
        <v>39.340000000000003</v>
      </c>
      <c r="D1135" s="43">
        <f t="shared" si="17"/>
        <v>-6.3759295919005948E-2</v>
      </c>
    </row>
    <row r="1136" spans="2:4" x14ac:dyDescent="0.35">
      <c r="B1136" s="10">
        <v>44529</v>
      </c>
      <c r="C1136" s="11">
        <v>38.770000000000003</v>
      </c>
      <c r="D1136" s="43">
        <f t="shared" si="17"/>
        <v>1.459506127807531E-2</v>
      </c>
    </row>
    <row r="1137" spans="2:4" x14ac:dyDescent="0.35">
      <c r="B1137" s="10">
        <v>44526</v>
      </c>
      <c r="C1137" s="11">
        <v>39.03</v>
      </c>
      <c r="D1137" s="43">
        <f t="shared" si="17"/>
        <v>-6.6838295096857403E-3</v>
      </c>
    </row>
    <row r="1138" spans="2:4" x14ac:dyDescent="0.35">
      <c r="B1138" s="10">
        <v>44524</v>
      </c>
      <c r="C1138" s="11">
        <v>40.9</v>
      </c>
      <c r="D1138" s="43">
        <f t="shared" si="17"/>
        <v>-4.6799481856232443E-2</v>
      </c>
    </row>
    <row r="1139" spans="2:4" x14ac:dyDescent="0.35">
      <c r="B1139" s="10">
        <v>44523</v>
      </c>
      <c r="C1139" s="11">
        <v>40.32</v>
      </c>
      <c r="D1139" s="43">
        <f t="shared" si="17"/>
        <v>1.4282439285642944E-2</v>
      </c>
    </row>
    <row r="1140" spans="2:4" x14ac:dyDescent="0.35">
      <c r="B1140" s="10">
        <v>44522</v>
      </c>
      <c r="C1140" s="11">
        <v>40.9</v>
      </c>
      <c r="D1140" s="43">
        <f t="shared" si="17"/>
        <v>-1.4282439285642873E-2</v>
      </c>
    </row>
    <row r="1141" spans="2:4" x14ac:dyDescent="0.35">
      <c r="B1141" s="10">
        <v>44519</v>
      </c>
      <c r="C1141" s="11">
        <v>40.86</v>
      </c>
      <c r="D1141" s="43">
        <f t="shared" si="17"/>
        <v>9.7847365928014404E-4</v>
      </c>
    </row>
    <row r="1142" spans="2:4" x14ac:dyDescent="0.35">
      <c r="B1142" s="10">
        <v>44518</v>
      </c>
      <c r="C1142" s="11">
        <v>40.729999999999997</v>
      </c>
      <c r="D1142" s="43">
        <f t="shared" si="17"/>
        <v>3.1866677291548045E-3</v>
      </c>
    </row>
    <row r="1143" spans="2:4" x14ac:dyDescent="0.35">
      <c r="B1143" s="10">
        <v>44517</v>
      </c>
      <c r="C1143" s="11">
        <v>39.270000000000003</v>
      </c>
      <c r="D1143" s="43">
        <f t="shared" si="17"/>
        <v>3.6504053070402713E-2</v>
      </c>
    </row>
    <row r="1144" spans="2:4" x14ac:dyDescent="0.35">
      <c r="B1144" s="10">
        <v>44516</v>
      </c>
      <c r="C1144" s="11">
        <v>39.24</v>
      </c>
      <c r="D1144" s="43">
        <f t="shared" si="17"/>
        <v>7.642338927558957E-4</v>
      </c>
    </row>
    <row r="1145" spans="2:4" x14ac:dyDescent="0.35">
      <c r="B1145" s="10">
        <v>44515</v>
      </c>
      <c r="C1145" s="11">
        <v>39.200000000000003</v>
      </c>
      <c r="D1145" s="43">
        <f t="shared" si="17"/>
        <v>1.0198879007453808E-3</v>
      </c>
    </row>
    <row r="1146" spans="2:4" x14ac:dyDescent="0.35">
      <c r="B1146" s="10">
        <v>44512</v>
      </c>
      <c r="C1146" s="11">
        <v>39.19</v>
      </c>
      <c r="D1146" s="43">
        <f t="shared" si="17"/>
        <v>2.5513458487694924E-4</v>
      </c>
    </row>
    <row r="1147" spans="2:4" x14ac:dyDescent="0.35">
      <c r="B1147" s="10">
        <v>44511</v>
      </c>
      <c r="C1147" s="11">
        <v>39.51</v>
      </c>
      <c r="D1147" s="43">
        <f t="shared" si="17"/>
        <v>-8.1321922117592524E-3</v>
      </c>
    </row>
    <row r="1148" spans="2:4" x14ac:dyDescent="0.35">
      <c r="B1148" s="10">
        <v>44510</v>
      </c>
      <c r="C1148" s="11">
        <v>39.5</v>
      </c>
      <c r="D1148" s="43">
        <f t="shared" si="17"/>
        <v>2.5313251622304813E-4</v>
      </c>
    </row>
    <row r="1149" spans="2:4" x14ac:dyDescent="0.35">
      <c r="B1149" s="10">
        <v>44509</v>
      </c>
      <c r="C1149" s="11">
        <v>41.73</v>
      </c>
      <c r="D1149" s="43">
        <f t="shared" si="17"/>
        <v>-5.4919622696385027E-2</v>
      </c>
    </row>
    <row r="1150" spans="2:4" x14ac:dyDescent="0.35">
      <c r="B1150" s="10">
        <v>44508</v>
      </c>
      <c r="C1150" s="11">
        <v>41</v>
      </c>
      <c r="D1150" s="43">
        <f t="shared" si="17"/>
        <v>1.7648227899153445E-2</v>
      </c>
    </row>
    <row r="1151" spans="2:4" x14ac:dyDescent="0.35">
      <c r="B1151" s="10">
        <v>44505</v>
      </c>
      <c r="C1151" s="11">
        <v>41.1</v>
      </c>
      <c r="D1151" s="43">
        <f t="shared" si="17"/>
        <v>-2.4360547978811158E-3</v>
      </c>
    </row>
    <row r="1152" spans="2:4" x14ac:dyDescent="0.35">
      <c r="B1152" s="10">
        <v>44504</v>
      </c>
      <c r="C1152" s="11">
        <v>38.97</v>
      </c>
      <c r="D1152" s="43">
        <f t="shared" si="17"/>
        <v>5.3216002151571205E-2</v>
      </c>
    </row>
    <row r="1153" spans="2:4" x14ac:dyDescent="0.35">
      <c r="B1153" s="10">
        <v>44503</v>
      </c>
      <c r="C1153" s="11">
        <v>36.67</v>
      </c>
      <c r="D1153" s="43">
        <f t="shared" si="17"/>
        <v>6.0833137267383063E-2</v>
      </c>
    </row>
    <row r="1154" spans="2:4" x14ac:dyDescent="0.35">
      <c r="B1154" s="10">
        <v>44502</v>
      </c>
      <c r="C1154" s="11">
        <v>34.68</v>
      </c>
      <c r="D1154" s="43">
        <f t="shared" si="17"/>
        <v>5.5795830170893623E-2</v>
      </c>
    </row>
    <row r="1155" spans="2:4" x14ac:dyDescent="0.35">
      <c r="B1155" s="10">
        <v>44501</v>
      </c>
      <c r="C1155" s="11">
        <v>34.35</v>
      </c>
      <c r="D1155" s="43">
        <f t="shared" si="17"/>
        <v>9.5611332439826252E-3</v>
      </c>
    </row>
    <row r="1156" spans="2:4" x14ac:dyDescent="0.35">
      <c r="B1156" s="10">
        <v>44498</v>
      </c>
      <c r="C1156" s="11">
        <v>34.909999999999997</v>
      </c>
      <c r="D1156" s="43">
        <f t="shared" ref="D1156:D1219" si="18">IFERROR(LN(C1155/C1156),"")</f>
        <v>-1.6171302448586142E-2</v>
      </c>
    </row>
    <row r="1157" spans="2:4" x14ac:dyDescent="0.35">
      <c r="B1157" s="10">
        <v>44497</v>
      </c>
      <c r="C1157" s="11">
        <v>35.950000000000003</v>
      </c>
      <c r="D1157" s="43">
        <f t="shared" si="18"/>
        <v>-2.9355763050111203E-2</v>
      </c>
    </row>
    <row r="1158" spans="2:4" x14ac:dyDescent="0.35">
      <c r="B1158" s="10">
        <v>44496</v>
      </c>
      <c r="C1158" s="11">
        <v>34.950000000000003</v>
      </c>
      <c r="D1158" s="43">
        <f t="shared" si="18"/>
        <v>2.8210615487236419E-2</v>
      </c>
    </row>
    <row r="1159" spans="2:4" x14ac:dyDescent="0.35">
      <c r="B1159" s="10">
        <v>44495</v>
      </c>
      <c r="C1159" s="11">
        <v>35.85</v>
      </c>
      <c r="D1159" s="43">
        <f t="shared" si="18"/>
        <v>-2.5425098365810056E-2</v>
      </c>
    </row>
    <row r="1160" spans="2:4" x14ac:dyDescent="0.35">
      <c r="B1160" s="10">
        <v>44494</v>
      </c>
      <c r="C1160" s="11">
        <v>36.299999999999997</v>
      </c>
      <c r="D1160" s="43">
        <f t="shared" si="18"/>
        <v>-1.2474174225175577E-2</v>
      </c>
    </row>
    <row r="1161" spans="2:4" x14ac:dyDescent="0.35">
      <c r="B1161" s="10">
        <v>44491</v>
      </c>
      <c r="C1161" s="11">
        <v>37.03</v>
      </c>
      <c r="D1161" s="43">
        <f t="shared" si="18"/>
        <v>-1.9910653654716285E-2</v>
      </c>
    </row>
    <row r="1162" spans="2:4" x14ac:dyDescent="0.35">
      <c r="B1162" s="10">
        <v>44490</v>
      </c>
      <c r="C1162" s="11">
        <v>36.21</v>
      </c>
      <c r="D1162" s="43">
        <f t="shared" si="18"/>
        <v>2.2393071147971507E-2</v>
      </c>
    </row>
    <row r="1163" spans="2:4" x14ac:dyDescent="0.35">
      <c r="B1163" s="10">
        <v>44489</v>
      </c>
      <c r="C1163" s="11">
        <v>35.729999999999997</v>
      </c>
      <c r="D1163" s="43">
        <f t="shared" si="18"/>
        <v>1.334465174223152E-2</v>
      </c>
    </row>
    <row r="1164" spans="2:4" x14ac:dyDescent="0.35">
      <c r="B1164" s="10">
        <v>44488</v>
      </c>
      <c r="C1164" s="11">
        <v>35.32</v>
      </c>
      <c r="D1164" s="43">
        <f t="shared" si="18"/>
        <v>1.1541296299559066E-2</v>
      </c>
    </row>
    <row r="1165" spans="2:4" x14ac:dyDescent="0.35">
      <c r="B1165" s="10">
        <v>44487</v>
      </c>
      <c r="C1165" s="11">
        <v>35.770000000000003</v>
      </c>
      <c r="D1165" s="43">
        <f t="shared" si="18"/>
        <v>-1.2660177535167131E-2</v>
      </c>
    </row>
    <row r="1166" spans="2:4" x14ac:dyDescent="0.35">
      <c r="B1166" s="10">
        <v>44484</v>
      </c>
      <c r="C1166" s="11">
        <v>36.89</v>
      </c>
      <c r="D1166" s="43">
        <f t="shared" si="18"/>
        <v>-3.083095833765781E-2</v>
      </c>
    </row>
    <row r="1167" spans="2:4" x14ac:dyDescent="0.35">
      <c r="B1167" s="10">
        <v>44483</v>
      </c>
      <c r="C1167" s="11">
        <v>38.130000000000003</v>
      </c>
      <c r="D1167" s="43">
        <f t="shared" si="18"/>
        <v>-3.3060862260888176E-2</v>
      </c>
    </row>
    <row r="1168" spans="2:4" x14ac:dyDescent="0.35">
      <c r="B1168" s="10">
        <v>44482</v>
      </c>
      <c r="C1168" s="11">
        <v>37.979999999999997</v>
      </c>
      <c r="D1168" s="43">
        <f t="shared" si="18"/>
        <v>3.9416684853326861E-3</v>
      </c>
    </row>
    <row r="1169" spans="2:4" x14ac:dyDescent="0.35">
      <c r="B1169" s="10">
        <v>44481</v>
      </c>
      <c r="C1169" s="11">
        <v>36.71</v>
      </c>
      <c r="D1169" s="43">
        <f t="shared" si="18"/>
        <v>3.4010507875396896E-2</v>
      </c>
    </row>
    <row r="1170" spans="2:4" x14ac:dyDescent="0.35">
      <c r="B1170" s="10">
        <v>44480</v>
      </c>
      <c r="C1170" s="11">
        <v>36.26</v>
      </c>
      <c r="D1170" s="43">
        <f t="shared" si="18"/>
        <v>1.2333992182037951E-2</v>
      </c>
    </row>
    <row r="1171" spans="2:4" x14ac:dyDescent="0.35">
      <c r="B1171" s="10">
        <v>44477</v>
      </c>
      <c r="C1171" s="11">
        <v>38.01</v>
      </c>
      <c r="D1171" s="43">
        <f t="shared" si="18"/>
        <v>-4.7134077674452372E-2</v>
      </c>
    </row>
    <row r="1172" spans="2:4" x14ac:dyDescent="0.35">
      <c r="B1172" s="10">
        <v>44476</v>
      </c>
      <c r="C1172" s="11">
        <v>38.85</v>
      </c>
      <c r="D1172" s="43">
        <f t="shared" si="18"/>
        <v>-2.1858793812499187E-2</v>
      </c>
    </row>
    <row r="1173" spans="2:4" x14ac:dyDescent="0.35">
      <c r="B1173" s="10">
        <v>44475</v>
      </c>
      <c r="C1173" s="11">
        <v>36.119999999999997</v>
      </c>
      <c r="D1173" s="43">
        <f t="shared" si="18"/>
        <v>7.2861348264871895E-2</v>
      </c>
    </row>
    <row r="1174" spans="2:4" x14ac:dyDescent="0.35">
      <c r="B1174" s="10">
        <v>44474</v>
      </c>
      <c r="C1174" s="11">
        <v>36.81</v>
      </c>
      <c r="D1174" s="43">
        <f t="shared" si="18"/>
        <v>-1.8922818842145233E-2</v>
      </c>
    </row>
    <row r="1175" spans="2:4" x14ac:dyDescent="0.35">
      <c r="B1175" s="10">
        <v>44473</v>
      </c>
      <c r="C1175" s="11">
        <v>36.39</v>
      </c>
      <c r="D1175" s="43">
        <f t="shared" si="18"/>
        <v>1.1475535766861281E-2</v>
      </c>
    </row>
    <row r="1176" spans="2:4" x14ac:dyDescent="0.35">
      <c r="B1176" s="10">
        <v>44470</v>
      </c>
      <c r="C1176" s="11">
        <v>36.74</v>
      </c>
      <c r="D1176" s="43">
        <f t="shared" si="18"/>
        <v>-9.5720681629111477E-3</v>
      </c>
    </row>
    <row r="1177" spans="2:4" x14ac:dyDescent="0.35">
      <c r="B1177" s="10">
        <v>44469</v>
      </c>
      <c r="C1177" s="11">
        <v>35.74</v>
      </c>
      <c r="D1177" s="43">
        <f t="shared" si="18"/>
        <v>2.7595570055697523E-2</v>
      </c>
    </row>
    <row r="1178" spans="2:4" x14ac:dyDescent="0.35">
      <c r="B1178" s="10">
        <v>44468</v>
      </c>
      <c r="C1178" s="11">
        <v>33.590000000000003</v>
      </c>
      <c r="D1178" s="43">
        <f t="shared" si="18"/>
        <v>6.2042106107080663E-2</v>
      </c>
    </row>
    <row r="1179" spans="2:4" x14ac:dyDescent="0.35">
      <c r="B1179" s="10">
        <v>44467</v>
      </c>
      <c r="C1179" s="11">
        <v>34.119999999999997</v>
      </c>
      <c r="D1179" s="43">
        <f t="shared" si="18"/>
        <v>-1.5655318999276822E-2</v>
      </c>
    </row>
    <row r="1180" spans="2:4" x14ac:dyDescent="0.35">
      <c r="B1180" s="10">
        <v>44466</v>
      </c>
      <c r="C1180" s="11">
        <v>34.909999999999997</v>
      </c>
      <c r="D1180" s="43">
        <f t="shared" si="18"/>
        <v>-2.2889598493466282E-2</v>
      </c>
    </row>
    <row r="1181" spans="2:4" x14ac:dyDescent="0.35">
      <c r="B1181" s="10">
        <v>44463</v>
      </c>
      <c r="C1181" s="11">
        <v>33.130000000000003</v>
      </c>
      <c r="D1181" s="43">
        <f t="shared" si="18"/>
        <v>5.233410480513994E-2</v>
      </c>
    </row>
    <row r="1182" spans="2:4" x14ac:dyDescent="0.35">
      <c r="B1182" s="10">
        <v>44462</v>
      </c>
      <c r="C1182" s="11">
        <v>33.61</v>
      </c>
      <c r="D1182" s="43">
        <f t="shared" si="18"/>
        <v>-1.4384425425209756E-2</v>
      </c>
    </row>
    <row r="1183" spans="2:4" x14ac:dyDescent="0.35">
      <c r="B1183" s="10">
        <v>44461</v>
      </c>
      <c r="C1183" s="11">
        <v>33.840000000000003</v>
      </c>
      <c r="D1183" s="43">
        <f t="shared" si="18"/>
        <v>-6.8198930010083987E-3</v>
      </c>
    </row>
    <row r="1184" spans="2:4" x14ac:dyDescent="0.35">
      <c r="B1184" s="10">
        <v>44460</v>
      </c>
      <c r="C1184" s="11">
        <v>32.869999999999997</v>
      </c>
      <c r="D1184" s="43">
        <f t="shared" si="18"/>
        <v>2.908314706189466E-2</v>
      </c>
    </row>
    <row r="1185" spans="2:4" x14ac:dyDescent="0.35">
      <c r="B1185" s="10">
        <v>44459</v>
      </c>
      <c r="C1185" s="11">
        <v>32.43</v>
      </c>
      <c r="D1185" s="43">
        <f t="shared" si="18"/>
        <v>1.3476467356901372E-2</v>
      </c>
    </row>
    <row r="1186" spans="2:4" x14ac:dyDescent="0.35">
      <c r="B1186" s="10">
        <v>44456</v>
      </c>
      <c r="C1186" s="11">
        <v>33.89</v>
      </c>
      <c r="D1186" s="43">
        <f t="shared" si="18"/>
        <v>-4.4036065299733397E-2</v>
      </c>
    </row>
    <row r="1187" spans="2:4" x14ac:dyDescent="0.35">
      <c r="B1187" s="10">
        <v>44455</v>
      </c>
      <c r="C1187" s="11">
        <v>33.49</v>
      </c>
      <c r="D1187" s="43">
        <f t="shared" si="18"/>
        <v>1.1873098812846797E-2</v>
      </c>
    </row>
    <row r="1188" spans="2:4" x14ac:dyDescent="0.35">
      <c r="B1188" s="10">
        <v>44454</v>
      </c>
      <c r="C1188" s="11">
        <v>33.700000000000003</v>
      </c>
      <c r="D1188" s="43">
        <f t="shared" si="18"/>
        <v>-6.2509505522028259E-3</v>
      </c>
    </row>
    <row r="1189" spans="2:4" x14ac:dyDescent="0.35">
      <c r="B1189" s="10">
        <v>44453</v>
      </c>
      <c r="C1189" s="11">
        <v>33.1</v>
      </c>
      <c r="D1189" s="43">
        <f t="shared" si="18"/>
        <v>1.7964554975298894E-2</v>
      </c>
    </row>
    <row r="1190" spans="2:4" x14ac:dyDescent="0.35">
      <c r="B1190" s="10">
        <v>44452</v>
      </c>
      <c r="C1190" s="11">
        <v>31.48</v>
      </c>
      <c r="D1190" s="43">
        <f t="shared" si="18"/>
        <v>5.0180858833814852E-2</v>
      </c>
    </row>
    <row r="1191" spans="2:4" x14ac:dyDescent="0.35">
      <c r="B1191" s="10">
        <v>44449</v>
      </c>
      <c r="C1191" s="11">
        <v>29.52</v>
      </c>
      <c r="D1191" s="43">
        <f t="shared" si="18"/>
        <v>6.4284423816930808E-2</v>
      </c>
    </row>
    <row r="1192" spans="2:4" x14ac:dyDescent="0.35">
      <c r="B1192" s="10">
        <v>44448</v>
      </c>
      <c r="C1192" s="11">
        <v>30.05</v>
      </c>
      <c r="D1192" s="43">
        <f t="shared" si="18"/>
        <v>-1.7794661248944892E-2</v>
      </c>
    </row>
    <row r="1193" spans="2:4" x14ac:dyDescent="0.35">
      <c r="B1193" s="10">
        <v>44447</v>
      </c>
      <c r="C1193" s="11">
        <v>31.12</v>
      </c>
      <c r="D1193" s="43">
        <f t="shared" si="18"/>
        <v>-3.4988038328974291E-2</v>
      </c>
    </row>
    <row r="1194" spans="2:4" x14ac:dyDescent="0.35">
      <c r="B1194" s="10">
        <v>44446</v>
      </c>
      <c r="C1194" s="11">
        <v>31.05</v>
      </c>
      <c r="D1194" s="43">
        <f t="shared" si="18"/>
        <v>2.2518909307030028E-3</v>
      </c>
    </row>
    <row r="1195" spans="2:4" x14ac:dyDescent="0.35">
      <c r="B1195" s="10">
        <v>44442</v>
      </c>
      <c r="C1195" s="11">
        <v>32.46</v>
      </c>
      <c r="D1195" s="43">
        <f t="shared" si="18"/>
        <v>-4.4409753706957378E-2</v>
      </c>
    </row>
    <row r="1196" spans="2:4" x14ac:dyDescent="0.35">
      <c r="B1196" s="10">
        <v>44441</v>
      </c>
      <c r="C1196" s="11">
        <v>33.520000000000003</v>
      </c>
      <c r="D1196" s="43">
        <f t="shared" si="18"/>
        <v>-3.2133713527437213E-2</v>
      </c>
    </row>
    <row r="1197" spans="2:4" x14ac:dyDescent="0.35">
      <c r="B1197" s="10">
        <v>44440</v>
      </c>
      <c r="C1197" s="11">
        <v>33.020000000000003</v>
      </c>
      <c r="D1197" s="43">
        <f t="shared" si="18"/>
        <v>1.5028837121900415E-2</v>
      </c>
    </row>
    <row r="1198" spans="2:4" x14ac:dyDescent="0.35">
      <c r="B1198" s="10">
        <v>44439</v>
      </c>
      <c r="C1198" s="11">
        <v>32.97</v>
      </c>
      <c r="D1198" s="43">
        <f t="shared" si="18"/>
        <v>1.5153814083422958E-3</v>
      </c>
    </row>
    <row r="1199" spans="2:4" x14ac:dyDescent="0.35">
      <c r="B1199" s="10">
        <v>44438</v>
      </c>
      <c r="C1199" s="11">
        <v>32.659999999999997</v>
      </c>
      <c r="D1199" s="43">
        <f t="shared" si="18"/>
        <v>9.446969541320677E-3</v>
      </c>
    </row>
    <row r="1200" spans="2:4" x14ac:dyDescent="0.35">
      <c r="B1200" s="10">
        <v>44435</v>
      </c>
      <c r="C1200" s="11">
        <v>33.28</v>
      </c>
      <c r="D1200" s="43">
        <f t="shared" si="18"/>
        <v>-1.8805528410688919E-2</v>
      </c>
    </row>
    <row r="1201" spans="2:4" x14ac:dyDescent="0.35">
      <c r="B1201" s="10">
        <v>44434</v>
      </c>
      <c r="C1201" s="11">
        <v>31.56</v>
      </c>
      <c r="D1201" s="43">
        <f t="shared" si="18"/>
        <v>5.3066119975334405E-2</v>
      </c>
    </row>
    <row r="1202" spans="2:4" x14ac:dyDescent="0.35">
      <c r="B1202" s="10">
        <v>44433</v>
      </c>
      <c r="C1202" s="11">
        <v>31.96</v>
      </c>
      <c r="D1202" s="43">
        <f t="shared" si="18"/>
        <v>-1.2594624920400456E-2</v>
      </c>
    </row>
    <row r="1203" spans="2:4" x14ac:dyDescent="0.35">
      <c r="B1203" s="10">
        <v>44432</v>
      </c>
      <c r="C1203" s="11">
        <v>31.54</v>
      </c>
      <c r="D1203" s="43">
        <f t="shared" si="18"/>
        <v>1.3228539363181618E-2</v>
      </c>
    </row>
    <row r="1204" spans="2:4" x14ac:dyDescent="0.35">
      <c r="B1204" s="10">
        <v>44431</v>
      </c>
      <c r="C1204" s="11">
        <v>31.39</v>
      </c>
      <c r="D1204" s="43">
        <f t="shared" si="18"/>
        <v>4.7672106810301334E-3</v>
      </c>
    </row>
    <row r="1205" spans="2:4" x14ac:dyDescent="0.35">
      <c r="B1205" s="10">
        <v>44428</v>
      </c>
      <c r="C1205" s="11">
        <v>30.56</v>
      </c>
      <c r="D1205" s="43">
        <f t="shared" si="18"/>
        <v>2.6797406555542608E-2</v>
      </c>
    </row>
    <row r="1206" spans="2:4" x14ac:dyDescent="0.35">
      <c r="B1206" s="10">
        <v>44427</v>
      </c>
      <c r="C1206" s="11">
        <v>30</v>
      </c>
      <c r="D1206" s="43">
        <f t="shared" si="18"/>
        <v>1.8494582636164311E-2</v>
      </c>
    </row>
    <row r="1207" spans="2:4" x14ac:dyDescent="0.35">
      <c r="B1207" s="10">
        <v>44426</v>
      </c>
      <c r="C1207" s="11">
        <v>30.25</v>
      </c>
      <c r="D1207" s="43">
        <f t="shared" si="18"/>
        <v>-8.2988028146950658E-3</v>
      </c>
    </row>
    <row r="1208" spans="2:4" x14ac:dyDescent="0.35">
      <c r="B1208" s="10">
        <v>44425</v>
      </c>
      <c r="C1208" s="11">
        <v>31.76</v>
      </c>
      <c r="D1208" s="43">
        <f t="shared" si="18"/>
        <v>-4.8711451902084583E-2</v>
      </c>
    </row>
    <row r="1209" spans="2:4" x14ac:dyDescent="0.35">
      <c r="B1209" s="10">
        <v>44424</v>
      </c>
      <c r="C1209" s="11">
        <v>31.16</v>
      </c>
      <c r="D1209" s="43">
        <f t="shared" si="18"/>
        <v>1.9072415376387396E-2</v>
      </c>
    </row>
    <row r="1210" spans="2:4" x14ac:dyDescent="0.35">
      <c r="B1210" s="10">
        <v>44421</v>
      </c>
      <c r="C1210" s="11">
        <v>32.15</v>
      </c>
      <c r="D1210" s="43">
        <f t="shared" si="18"/>
        <v>-3.1277229681080813E-2</v>
      </c>
    </row>
    <row r="1211" spans="2:4" x14ac:dyDescent="0.35">
      <c r="B1211" s="10">
        <v>44420</v>
      </c>
      <c r="C1211" s="11">
        <v>32.43</v>
      </c>
      <c r="D1211" s="43">
        <f t="shared" si="18"/>
        <v>-8.671469635598214E-3</v>
      </c>
    </row>
    <row r="1212" spans="2:4" x14ac:dyDescent="0.35">
      <c r="B1212" s="10">
        <v>44419</v>
      </c>
      <c r="C1212" s="11">
        <v>32.53</v>
      </c>
      <c r="D1212" s="43">
        <f t="shared" si="18"/>
        <v>-3.0788201660334807E-3</v>
      </c>
    </row>
    <row r="1213" spans="2:4" x14ac:dyDescent="0.35">
      <c r="B1213" s="10">
        <v>44418</v>
      </c>
      <c r="C1213" s="11">
        <v>31.93</v>
      </c>
      <c r="D1213" s="43">
        <f t="shared" si="18"/>
        <v>1.8616733758569565E-2</v>
      </c>
    </row>
    <row r="1214" spans="2:4" x14ac:dyDescent="0.35">
      <c r="B1214" s="10">
        <v>44417</v>
      </c>
      <c r="C1214" s="11">
        <v>31.89</v>
      </c>
      <c r="D1214" s="43">
        <f t="shared" si="18"/>
        <v>1.2535257047243389E-3</v>
      </c>
    </row>
    <row r="1215" spans="2:4" x14ac:dyDescent="0.35">
      <c r="B1215" s="10">
        <v>44414</v>
      </c>
      <c r="C1215" s="11">
        <v>31.82</v>
      </c>
      <c r="D1215" s="43">
        <f t="shared" si="18"/>
        <v>2.1974581123253684E-3</v>
      </c>
    </row>
    <row r="1216" spans="2:4" x14ac:dyDescent="0.35">
      <c r="B1216" s="10">
        <v>44413</v>
      </c>
      <c r="C1216" s="11">
        <v>30.24</v>
      </c>
      <c r="D1216" s="43">
        <f t="shared" si="18"/>
        <v>5.0929471598308525E-2</v>
      </c>
    </row>
    <row r="1217" spans="2:4" x14ac:dyDescent="0.35">
      <c r="B1217" s="10">
        <v>44412</v>
      </c>
      <c r="C1217" s="11">
        <v>29.51</v>
      </c>
      <c r="D1217" s="43">
        <f t="shared" si="18"/>
        <v>2.4436362356484127E-2</v>
      </c>
    </row>
    <row r="1218" spans="2:4" x14ac:dyDescent="0.35">
      <c r="B1218" s="10">
        <v>44411</v>
      </c>
      <c r="C1218" s="11">
        <v>28.83</v>
      </c>
      <c r="D1218" s="43">
        <f t="shared" si="18"/>
        <v>2.3312677304537299E-2</v>
      </c>
    </row>
    <row r="1219" spans="2:4" x14ac:dyDescent="0.35">
      <c r="B1219" s="10">
        <v>44410</v>
      </c>
      <c r="C1219" s="11">
        <v>28.77</v>
      </c>
      <c r="D1219" s="43">
        <f t="shared" si="18"/>
        <v>2.0833340868542691E-3</v>
      </c>
    </row>
    <row r="1220" spans="2:4" x14ac:dyDescent="0.35">
      <c r="B1220" s="10">
        <v>44407</v>
      </c>
      <c r="C1220" s="11">
        <v>29.68</v>
      </c>
      <c r="D1220" s="43">
        <f t="shared" ref="D1220:D1258" si="19">IFERROR(LN(C1219/C1220),"")</f>
        <v>-3.1140240735723176E-2</v>
      </c>
    </row>
    <row r="1221" spans="2:4" x14ac:dyDescent="0.35">
      <c r="B1221" s="10">
        <v>44406</v>
      </c>
      <c r="C1221" s="11">
        <v>29.36</v>
      </c>
      <c r="D1221" s="43">
        <f t="shared" si="19"/>
        <v>1.0840214552864807E-2</v>
      </c>
    </row>
    <row r="1222" spans="2:4" x14ac:dyDescent="0.35">
      <c r="B1222" s="10">
        <v>44405</v>
      </c>
      <c r="C1222" s="11">
        <v>29.06</v>
      </c>
      <c r="D1222" s="43">
        <f t="shared" si="19"/>
        <v>1.0270545604177953E-2</v>
      </c>
    </row>
    <row r="1223" spans="2:4" x14ac:dyDescent="0.35">
      <c r="B1223" s="10">
        <v>44404</v>
      </c>
      <c r="C1223" s="11">
        <v>28.11</v>
      </c>
      <c r="D1223" s="43">
        <f t="shared" si="19"/>
        <v>3.3237273223696392E-2</v>
      </c>
    </row>
    <row r="1224" spans="2:4" x14ac:dyDescent="0.35">
      <c r="B1224" s="10">
        <v>44403</v>
      </c>
      <c r="C1224" s="11">
        <v>28.2</v>
      </c>
      <c r="D1224" s="43">
        <f t="shared" si="19"/>
        <v>-3.1965930256273693E-3</v>
      </c>
    </row>
    <row r="1225" spans="2:4" x14ac:dyDescent="0.35">
      <c r="B1225" s="10">
        <v>44400</v>
      </c>
      <c r="C1225" s="11">
        <v>29.04</v>
      </c>
      <c r="D1225" s="43">
        <f t="shared" si="19"/>
        <v>-2.935221201252745E-2</v>
      </c>
    </row>
    <row r="1226" spans="2:4" x14ac:dyDescent="0.35">
      <c r="B1226" s="10">
        <v>44399</v>
      </c>
      <c r="C1226" s="11">
        <v>30.1</v>
      </c>
      <c r="D1226" s="43">
        <f t="shared" si="19"/>
        <v>-3.585098179823476E-2</v>
      </c>
    </row>
    <row r="1227" spans="2:4" x14ac:dyDescent="0.35">
      <c r="B1227" s="10">
        <v>44398</v>
      </c>
      <c r="C1227" s="11">
        <v>29.28</v>
      </c>
      <c r="D1227" s="43">
        <f t="shared" si="19"/>
        <v>2.7620482661719185E-2</v>
      </c>
    </row>
    <row r="1228" spans="2:4" x14ac:dyDescent="0.35">
      <c r="B1228" s="10">
        <v>44397</v>
      </c>
      <c r="C1228" s="11">
        <v>29.18</v>
      </c>
      <c r="D1228" s="43">
        <f t="shared" si="19"/>
        <v>3.4211459984711712E-3</v>
      </c>
    </row>
    <row r="1229" spans="2:4" x14ac:dyDescent="0.35">
      <c r="B1229" s="10">
        <v>44396</v>
      </c>
      <c r="C1229" s="11">
        <v>27</v>
      </c>
      <c r="D1229" s="43">
        <f t="shared" si="19"/>
        <v>7.7646677090310548E-2</v>
      </c>
    </row>
    <row r="1230" spans="2:4" x14ac:dyDescent="0.35">
      <c r="B1230" s="10">
        <v>44393</v>
      </c>
      <c r="C1230" s="11">
        <v>19.23</v>
      </c>
      <c r="D1230" s="43">
        <f t="shared" si="19"/>
        <v>0.33936530640364065</v>
      </c>
    </row>
    <row r="1231" spans="2:4" x14ac:dyDescent="0.35">
      <c r="B1231" s="10">
        <v>44392</v>
      </c>
      <c r="C1231" s="11">
        <v>19.32</v>
      </c>
      <c r="D1231" s="43">
        <f t="shared" si="19"/>
        <v>-4.6692691836836119E-3</v>
      </c>
    </row>
    <row r="1232" spans="2:4" x14ac:dyDescent="0.35">
      <c r="B1232" s="10">
        <v>44391</v>
      </c>
      <c r="C1232" s="11">
        <v>18.54</v>
      </c>
      <c r="D1232" s="43">
        <f t="shared" si="19"/>
        <v>4.1210268646662898E-2</v>
      </c>
    </row>
    <row r="1233" spans="2:4" x14ac:dyDescent="0.35">
      <c r="B1233" s="10">
        <v>44390</v>
      </c>
      <c r="C1233" s="11">
        <v>18.79</v>
      </c>
      <c r="D1233" s="43">
        <f t="shared" si="19"/>
        <v>-1.3394253287664821E-2</v>
      </c>
    </row>
    <row r="1234" spans="2:4" x14ac:dyDescent="0.35">
      <c r="B1234" s="10">
        <v>44389</v>
      </c>
      <c r="C1234" s="11">
        <v>19.25</v>
      </c>
      <c r="D1234" s="43">
        <f t="shared" si="19"/>
        <v>-2.418624730841936E-2</v>
      </c>
    </row>
    <row r="1235" spans="2:4" x14ac:dyDescent="0.35">
      <c r="B1235" s="10">
        <v>44386</v>
      </c>
      <c r="C1235" s="11">
        <v>19.59</v>
      </c>
      <c r="D1235" s="43">
        <f t="shared" si="19"/>
        <v>-1.7508171222656091E-2</v>
      </c>
    </row>
    <row r="1236" spans="2:4" x14ac:dyDescent="0.35">
      <c r="B1236" s="10">
        <v>44385</v>
      </c>
      <c r="C1236" s="11">
        <v>19.73</v>
      </c>
      <c r="D1236" s="43">
        <f t="shared" si="19"/>
        <v>-7.1210880780745965E-3</v>
      </c>
    </row>
    <row r="1237" spans="2:4" x14ac:dyDescent="0.35">
      <c r="B1237" s="10">
        <v>44384</v>
      </c>
      <c r="C1237" s="11">
        <v>19.77</v>
      </c>
      <c r="D1237" s="43">
        <f t="shared" si="19"/>
        <v>-2.0253171480014882E-3</v>
      </c>
    </row>
    <row r="1238" spans="2:4" x14ac:dyDescent="0.35">
      <c r="B1238" s="10">
        <v>44383</v>
      </c>
      <c r="C1238" s="11">
        <v>19.53</v>
      </c>
      <c r="D1238" s="43">
        <f t="shared" si="19"/>
        <v>1.2213892293937998E-2</v>
      </c>
    </row>
    <row r="1239" spans="2:4" x14ac:dyDescent="0.35">
      <c r="B1239" s="10">
        <v>44379</v>
      </c>
      <c r="C1239" s="11">
        <v>20.61</v>
      </c>
      <c r="D1239" s="43">
        <f t="shared" si="19"/>
        <v>-5.3824650013779993E-2</v>
      </c>
    </row>
    <row r="1240" spans="2:4" x14ac:dyDescent="0.35">
      <c r="B1240" s="10">
        <v>44378</v>
      </c>
      <c r="C1240" s="11">
        <v>20.98</v>
      </c>
      <c r="D1240" s="43">
        <f t="shared" si="19"/>
        <v>-1.7793208065783484E-2</v>
      </c>
    </row>
    <row r="1241" spans="2:4" x14ac:dyDescent="0.35">
      <c r="B1241" s="10">
        <v>44377</v>
      </c>
      <c r="C1241" s="11">
        <v>19.79</v>
      </c>
      <c r="D1241" s="43">
        <f t="shared" si="19"/>
        <v>5.8392843353676713E-2</v>
      </c>
    </row>
    <row r="1242" spans="2:4" x14ac:dyDescent="0.35">
      <c r="B1242" s="10">
        <v>44376</v>
      </c>
      <c r="C1242" s="11">
        <v>21.12</v>
      </c>
      <c r="D1242" s="43">
        <f t="shared" si="19"/>
        <v>-6.5043699223586493E-2</v>
      </c>
    </row>
    <row r="1243" spans="2:4" x14ac:dyDescent="0.35">
      <c r="B1243" s="10">
        <v>44375</v>
      </c>
      <c r="C1243" s="11">
        <v>22.5</v>
      </c>
      <c r="D1243" s="43">
        <f t="shared" si="19"/>
        <v>-6.3294850372313624E-2</v>
      </c>
    </row>
    <row r="1244" spans="2:4" x14ac:dyDescent="0.35">
      <c r="B1244" s="10">
        <v>44372</v>
      </c>
      <c r="C1244" s="11">
        <v>22.5</v>
      </c>
      <c r="D1244" s="43">
        <f t="shared" si="19"/>
        <v>0</v>
      </c>
    </row>
    <row r="1245" spans="2:4" x14ac:dyDescent="0.35">
      <c r="B1245" s="10">
        <v>44371</v>
      </c>
      <c r="C1245" s="11">
        <v>22.55</v>
      </c>
      <c r="D1245" s="43">
        <f t="shared" si="19"/>
        <v>-2.2197567383128881E-3</v>
      </c>
    </row>
    <row r="1246" spans="2:4" x14ac:dyDescent="0.35">
      <c r="B1246" s="10">
        <v>44370</v>
      </c>
      <c r="C1246" s="11">
        <v>22.31</v>
      </c>
      <c r="D1246" s="43">
        <f t="shared" si="19"/>
        <v>1.0700057504246373E-2</v>
      </c>
    </row>
    <row r="1247" spans="2:4" x14ac:dyDescent="0.35">
      <c r="B1247" s="10">
        <v>44369</v>
      </c>
      <c r="C1247" s="11">
        <v>22.15</v>
      </c>
      <c r="D1247" s="43">
        <f t="shared" si="19"/>
        <v>7.1975119532964819E-3</v>
      </c>
    </row>
    <row r="1248" spans="2:4" x14ac:dyDescent="0.35">
      <c r="B1248" s="10">
        <v>44368</v>
      </c>
      <c r="C1248" s="11">
        <v>21.77</v>
      </c>
      <c r="D1248" s="43">
        <f t="shared" si="19"/>
        <v>1.7304621244688432E-2</v>
      </c>
    </row>
    <row r="1249" spans="2:4" x14ac:dyDescent="0.35">
      <c r="B1249" s="10">
        <v>44365</v>
      </c>
      <c r="C1249" s="11">
        <v>21.31</v>
      </c>
      <c r="D1249" s="43">
        <f t="shared" si="19"/>
        <v>2.1356429135930242E-2</v>
      </c>
    </row>
    <row r="1250" spans="2:4" x14ac:dyDescent="0.35">
      <c r="B1250" s="10">
        <v>44364</v>
      </c>
      <c r="C1250" s="11">
        <v>21.94</v>
      </c>
      <c r="D1250" s="43">
        <f t="shared" si="19"/>
        <v>-2.9135008736558578E-2</v>
      </c>
    </row>
    <row r="1251" spans="2:4" x14ac:dyDescent="0.35">
      <c r="B1251" s="10">
        <v>44363</v>
      </c>
      <c r="C1251" s="11">
        <v>21.79</v>
      </c>
      <c r="D1251" s="43">
        <f t="shared" si="19"/>
        <v>6.8603058905558276E-3</v>
      </c>
    </row>
    <row r="1252" spans="2:4" x14ac:dyDescent="0.35">
      <c r="B1252" s="10">
        <v>44362</v>
      </c>
      <c r="C1252" s="11">
        <v>22.28</v>
      </c>
      <c r="D1252" s="43">
        <f t="shared" si="19"/>
        <v>-2.2238266102554853E-2</v>
      </c>
    </row>
    <row r="1253" spans="2:4" x14ac:dyDescent="0.35">
      <c r="B1253" s="10">
        <v>44361</v>
      </c>
      <c r="C1253" s="11">
        <v>21.85</v>
      </c>
      <c r="D1253" s="43">
        <f t="shared" si="19"/>
        <v>1.9488493517484117E-2</v>
      </c>
    </row>
    <row r="1254" spans="2:4" x14ac:dyDescent="0.35">
      <c r="B1254" s="10">
        <v>44358</v>
      </c>
      <c r="C1254" s="11">
        <v>21.04</v>
      </c>
      <c r="D1254" s="43">
        <f t="shared" si="19"/>
        <v>3.7775533672090217E-2</v>
      </c>
    </row>
    <row r="1255" spans="2:4" x14ac:dyDescent="0.35">
      <c r="B1255" s="10">
        <v>44357</v>
      </c>
      <c r="C1255" s="11">
        <v>21.52</v>
      </c>
      <c r="D1255" s="43">
        <f t="shared" si="19"/>
        <v>-2.2557347424074628E-2</v>
      </c>
    </row>
    <row r="1256" spans="2:4" x14ac:dyDescent="0.35">
      <c r="B1256" s="10">
        <v>44356</v>
      </c>
      <c r="C1256" s="11">
        <v>21.53</v>
      </c>
      <c r="D1256" s="43">
        <f t="shared" si="19"/>
        <v>-4.6457608268801807E-4</v>
      </c>
    </row>
    <row r="1257" spans="2:4" x14ac:dyDescent="0.35">
      <c r="B1257" s="10">
        <v>44355</v>
      </c>
      <c r="C1257" s="11">
        <v>21.72</v>
      </c>
      <c r="D1257" s="43">
        <f t="shared" si="19"/>
        <v>-8.7861836894629758E-3</v>
      </c>
    </row>
    <row r="1258" spans="2:4" x14ac:dyDescent="0.35">
      <c r="B1258" s="10">
        <v>44354</v>
      </c>
      <c r="C1258" s="11">
        <v>22.33</v>
      </c>
      <c r="D1258" s="43">
        <f t="shared" si="19"/>
        <v>-2.7697570786331754E-2</v>
      </c>
    </row>
  </sheetData>
  <mergeCells count="1">
    <mergeCell ref="B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95485-5295-485C-85FA-B9B0135DC149}">
  <dimension ref="B1:F21"/>
  <sheetViews>
    <sheetView showGridLines="0" zoomScaleNormal="100" workbookViewId="0">
      <selection activeCell="C14" sqref="C14"/>
    </sheetView>
  </sheetViews>
  <sheetFormatPr defaultColWidth="8.6640625" defaultRowHeight="14.4" x14ac:dyDescent="0.35"/>
  <cols>
    <col min="1" max="1" width="2" style="1" customWidth="1"/>
    <col min="2" max="2" width="39.44140625" style="1" bestFit="1" customWidth="1"/>
    <col min="3" max="5" width="14" style="1" customWidth="1"/>
    <col min="6" max="6" width="67.5546875" style="1" bestFit="1" customWidth="1"/>
    <col min="7" max="16384" width="8.6640625" style="1"/>
  </cols>
  <sheetData>
    <row r="1" spans="2:6" x14ac:dyDescent="0.35">
      <c r="B1" s="113" t="s">
        <v>279</v>
      </c>
      <c r="C1" s="113"/>
      <c r="D1" s="113"/>
      <c r="E1" s="113"/>
      <c r="F1" s="113"/>
    </row>
    <row r="2" spans="2:6" ht="4.5" customHeight="1" x14ac:dyDescent="0.35"/>
    <row r="3" spans="2:6" ht="19.5" customHeight="1" x14ac:dyDescent="0.35">
      <c r="B3" s="79" t="s">
        <v>281</v>
      </c>
      <c r="C3" s="113" t="s">
        <v>269</v>
      </c>
      <c r="D3" s="113"/>
      <c r="E3" s="113"/>
      <c r="F3" s="79"/>
    </row>
    <row r="4" spans="2:6" ht="19.5" customHeight="1" x14ac:dyDescent="0.35">
      <c r="B4" s="102"/>
      <c r="C4" s="102" t="s">
        <v>182</v>
      </c>
      <c r="D4" s="102" t="s">
        <v>183</v>
      </c>
      <c r="E4" s="102" t="s">
        <v>184</v>
      </c>
      <c r="F4" s="102" t="s">
        <v>71</v>
      </c>
    </row>
    <row r="5" spans="2:6" ht="19.5" customHeight="1" x14ac:dyDescent="0.35">
      <c r="B5" s="2" t="s">
        <v>306</v>
      </c>
      <c r="C5" s="65">
        <f>18474/(10^3)</f>
        <v>18.474</v>
      </c>
      <c r="D5" s="65">
        <f>88039/(10^3)</f>
        <v>88.039000000000001</v>
      </c>
      <c r="E5" s="65">
        <f>105815/(10^3)</f>
        <v>105.815</v>
      </c>
      <c r="F5" s="3" t="s">
        <v>185</v>
      </c>
    </row>
    <row r="6" spans="2:6" ht="19.5" customHeight="1" x14ac:dyDescent="0.35">
      <c r="B6" s="2" t="s">
        <v>307</v>
      </c>
      <c r="C6" s="65">
        <f>-527117/(10^3)</f>
        <v>-527.11699999999996</v>
      </c>
      <c r="D6" s="65">
        <f>-607733/(10^3)</f>
        <v>-607.73299999999995</v>
      </c>
      <c r="E6" s="65">
        <f>-634642/(10^3)</f>
        <v>-634.64200000000005</v>
      </c>
      <c r="F6" s="3" t="s">
        <v>186</v>
      </c>
    </row>
    <row r="7" spans="2:6" ht="19.5" customHeight="1" x14ac:dyDescent="0.35">
      <c r="B7" s="2" t="s">
        <v>308</v>
      </c>
      <c r="C7" s="65">
        <f>-536648/(10^3)</f>
        <v>-536.64800000000002</v>
      </c>
      <c r="D7" s="65">
        <f>-617858/(10^3)</f>
        <v>-617.85799999999995</v>
      </c>
      <c r="E7" s="65">
        <f>-645845/(10^3)</f>
        <v>-645.84500000000003</v>
      </c>
      <c r="F7" s="3" t="s">
        <v>187</v>
      </c>
    </row>
    <row r="8" spans="2:6" ht="19.5" customHeight="1" x14ac:dyDescent="0.35">
      <c r="B8" s="2" t="s">
        <v>309</v>
      </c>
      <c r="C8" s="65">
        <f>-395890/(10^3)</f>
        <v>-395.89</v>
      </c>
      <c r="D8" s="65">
        <f>-510009/(10^3)</f>
        <v>-510.00900000000001</v>
      </c>
      <c r="E8" s="65">
        <f>-523849/(10^3)</f>
        <v>-523.84900000000005</v>
      </c>
      <c r="F8" s="3" t="s">
        <v>188</v>
      </c>
    </row>
    <row r="9" spans="2:6" ht="15" customHeight="1" x14ac:dyDescent="0.35">
      <c r="F9" s="75"/>
    </row>
    <row r="10" spans="2:6" ht="19.5" customHeight="1" x14ac:dyDescent="0.35">
      <c r="B10" s="79" t="s">
        <v>282</v>
      </c>
      <c r="C10" s="113" t="s">
        <v>269</v>
      </c>
      <c r="D10" s="113"/>
      <c r="E10" s="113"/>
      <c r="F10" s="79"/>
    </row>
    <row r="11" spans="2:6" ht="19.5" customHeight="1" x14ac:dyDescent="0.35">
      <c r="B11" s="102"/>
      <c r="C11" s="102" t="s">
        <v>182</v>
      </c>
      <c r="D11" s="102" t="s">
        <v>183</v>
      </c>
      <c r="E11" s="102" t="s">
        <v>184</v>
      </c>
      <c r="F11" s="102" t="s">
        <v>71</v>
      </c>
    </row>
    <row r="12" spans="2:6" ht="19.5" customHeight="1" x14ac:dyDescent="0.35">
      <c r="B12" s="2" t="s">
        <v>304</v>
      </c>
      <c r="C12" s="65">
        <v>0</v>
      </c>
      <c r="D12" s="65">
        <v>0</v>
      </c>
      <c r="E12" s="65">
        <v>755.9</v>
      </c>
      <c r="F12" s="3" t="s">
        <v>189</v>
      </c>
    </row>
    <row r="13" spans="2:6" ht="19.5" customHeight="1" x14ac:dyDescent="0.35">
      <c r="B13" s="2" t="s">
        <v>303</v>
      </c>
      <c r="C13" s="65">
        <v>0</v>
      </c>
      <c r="D13" s="65">
        <v>888</v>
      </c>
      <c r="E13" s="65">
        <v>888</v>
      </c>
      <c r="F13" s="3" t="s">
        <v>190</v>
      </c>
    </row>
    <row r="14" spans="2:6" ht="19.5" customHeight="1" x14ac:dyDescent="0.35">
      <c r="B14" s="2" t="s">
        <v>305</v>
      </c>
      <c r="C14" s="65">
        <v>0</v>
      </c>
      <c r="D14" s="65">
        <v>0</v>
      </c>
      <c r="E14" s="65">
        <v>132</v>
      </c>
      <c r="F14" s="3" t="s">
        <v>191</v>
      </c>
    </row>
    <row r="15" spans="2:6" ht="19.5" customHeight="1" x14ac:dyDescent="0.35">
      <c r="B15" s="2" t="s">
        <v>277</v>
      </c>
      <c r="C15" s="65">
        <f>1401673/(10^3)</f>
        <v>1401.673</v>
      </c>
      <c r="D15" s="65">
        <f>1424537/(10^3)</f>
        <v>1424.537</v>
      </c>
      <c r="E15" s="65">
        <f>1273478/(10^3)</f>
        <v>1273.4780000000001</v>
      </c>
      <c r="F15" s="3"/>
    </row>
    <row r="16" spans="2:6" ht="19.5" customHeight="1" x14ac:dyDescent="0.35">
      <c r="B16" s="2" t="s">
        <v>278</v>
      </c>
      <c r="C16" s="65">
        <f>-135372/(10^3)</f>
        <v>-135.37200000000001</v>
      </c>
      <c r="D16" s="65">
        <f>-659625/(10^3)</f>
        <v>-659.625</v>
      </c>
      <c r="E16" s="65">
        <f>-826568/(10^3)</f>
        <v>-826.56799999999998</v>
      </c>
      <c r="F16" s="3"/>
    </row>
    <row r="17" spans="2:6" ht="4.5" customHeight="1" x14ac:dyDescent="0.35"/>
    <row r="18" spans="2:6" ht="19.5" customHeight="1" x14ac:dyDescent="0.35">
      <c r="B18" s="119" t="s">
        <v>316</v>
      </c>
      <c r="C18" s="119"/>
      <c r="D18" s="119"/>
      <c r="E18" s="119"/>
      <c r="F18" s="119"/>
    </row>
    <row r="19" spans="2:6" ht="19.5" customHeight="1" x14ac:dyDescent="0.35">
      <c r="B19" s="2" t="s">
        <v>192</v>
      </c>
      <c r="C19" s="27">
        <v>-523.79999999999995</v>
      </c>
      <c r="D19" s="112"/>
      <c r="E19" s="112"/>
      <c r="F19" s="112"/>
    </row>
    <row r="20" spans="2:6" ht="19.5" customHeight="1" x14ac:dyDescent="0.35">
      <c r="B20" s="2" t="s">
        <v>193</v>
      </c>
      <c r="C20" s="27">
        <v>132</v>
      </c>
      <c r="D20" s="112"/>
      <c r="E20" s="112"/>
      <c r="F20" s="112"/>
    </row>
    <row r="21" spans="2:6" ht="19.5" customHeight="1" x14ac:dyDescent="0.35">
      <c r="B21" s="2" t="s">
        <v>194</v>
      </c>
      <c r="C21" s="80">
        <f>C19/C20</f>
        <v>-3.9681818181818178</v>
      </c>
      <c r="D21" s="112"/>
      <c r="E21" s="112"/>
      <c r="F21" s="112"/>
    </row>
  </sheetData>
  <mergeCells count="7">
    <mergeCell ref="D21:F21"/>
    <mergeCell ref="B1:F1"/>
    <mergeCell ref="B18:F18"/>
    <mergeCell ref="D19:F19"/>
    <mergeCell ref="D20:F20"/>
    <mergeCell ref="C3:E3"/>
    <mergeCell ref="C10:E1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C304-4E1F-44B6-BD7B-A9C5AB1133CD}">
  <dimension ref="B1:M53"/>
  <sheetViews>
    <sheetView showGridLines="0" topLeftCell="A8" zoomScale="114" zoomScaleNormal="100" workbookViewId="0">
      <selection activeCell="I14" sqref="I14"/>
    </sheetView>
  </sheetViews>
  <sheetFormatPr defaultColWidth="8.6640625" defaultRowHeight="14.4" x14ac:dyDescent="0.35"/>
  <cols>
    <col min="1" max="1" width="2" style="1" customWidth="1"/>
    <col min="2" max="2" width="27" style="1" customWidth="1"/>
    <col min="3" max="3" width="7" style="1" customWidth="1"/>
    <col min="4" max="6" width="17.77734375" style="1" customWidth="1"/>
    <col min="7" max="7" width="26" style="1" customWidth="1"/>
    <col min="8" max="8" width="8" style="1" customWidth="1"/>
    <col min="9" max="9" width="6.33203125" style="1" bestFit="1" customWidth="1"/>
    <col min="10" max="10" width="58.5546875" style="1" customWidth="1"/>
    <col min="11" max="11" width="8.6640625" style="1"/>
    <col min="12" max="12" width="6.33203125" style="1" bestFit="1" customWidth="1"/>
    <col min="13" max="13" width="13.33203125" style="1" bestFit="1" customWidth="1"/>
    <col min="14" max="16384" width="8.6640625" style="1"/>
  </cols>
  <sheetData>
    <row r="1" spans="2:13" x14ac:dyDescent="0.35">
      <c r="B1" s="113" t="s">
        <v>181</v>
      </c>
      <c r="C1" s="113"/>
      <c r="D1" s="113"/>
      <c r="E1" s="113"/>
      <c r="F1" s="113"/>
      <c r="G1" s="113"/>
      <c r="H1" s="113"/>
      <c r="I1" s="113"/>
      <c r="J1" s="113"/>
    </row>
    <row r="2" spans="2:13" x14ac:dyDescent="0.35">
      <c r="B2" s="122" t="s">
        <v>215</v>
      </c>
      <c r="C2" s="122"/>
      <c r="D2" s="122"/>
      <c r="E2" s="122"/>
      <c r="F2" s="122"/>
      <c r="G2" s="122"/>
      <c r="H2" s="122"/>
      <c r="I2" s="122"/>
      <c r="J2" s="122"/>
    </row>
    <row r="3" spans="2:13" ht="15.6" customHeight="1" thickBot="1" x14ac:dyDescent="0.4">
      <c r="B3" s="119" t="s">
        <v>213</v>
      </c>
      <c r="C3" s="119"/>
      <c r="D3" s="119"/>
      <c r="E3" s="119"/>
      <c r="F3" s="119"/>
      <c r="G3" s="119"/>
      <c r="H3" s="119"/>
      <c r="I3" s="119"/>
      <c r="J3" s="119"/>
      <c r="L3" s="49" t="s">
        <v>196</v>
      </c>
      <c r="M3" s="49" t="s">
        <v>197</v>
      </c>
    </row>
    <row r="4" spans="2:13" ht="14.4" customHeight="1" x14ac:dyDescent="0.35">
      <c r="B4" s="103" t="s">
        <v>116</v>
      </c>
      <c r="C4" s="103" t="s">
        <v>117</v>
      </c>
      <c r="D4" s="103" t="s">
        <v>118</v>
      </c>
      <c r="E4" s="103" t="s">
        <v>119</v>
      </c>
      <c r="F4" s="103" t="s">
        <v>120</v>
      </c>
      <c r="G4" s="104" t="s">
        <v>121</v>
      </c>
      <c r="H4" s="103" t="s">
        <v>122</v>
      </c>
      <c r="I4" s="103" t="s">
        <v>214</v>
      </c>
      <c r="J4" s="103" t="s">
        <v>77</v>
      </c>
      <c r="L4" s="50" t="s">
        <v>198</v>
      </c>
      <c r="M4" s="51">
        <v>1</v>
      </c>
    </row>
    <row r="5" spans="2:13" x14ac:dyDescent="0.35">
      <c r="B5" s="24" t="s">
        <v>123</v>
      </c>
      <c r="C5" s="60">
        <v>0.25</v>
      </c>
      <c r="D5" s="61" t="s">
        <v>136</v>
      </c>
      <c r="E5" s="61" t="s">
        <v>137</v>
      </c>
      <c r="F5" s="61" t="s">
        <v>138</v>
      </c>
      <c r="G5" s="87">
        <f>'Key Financials'!E5/10^3</f>
        <v>0.10581499999999999</v>
      </c>
      <c r="H5" s="44" t="s">
        <v>124</v>
      </c>
      <c r="I5" s="27">
        <f>_xlfn.XLOOKUP(H5,$L$4:$L$11,$M$4:$M$11,"",0)*C5</f>
        <v>5</v>
      </c>
      <c r="J5" s="3" t="s">
        <v>195</v>
      </c>
      <c r="L5" s="52" t="s">
        <v>199</v>
      </c>
      <c r="M5" s="53">
        <v>3</v>
      </c>
    </row>
    <row r="6" spans="2:13" ht="28.8" x14ac:dyDescent="0.35">
      <c r="B6" s="62" t="s">
        <v>139</v>
      </c>
      <c r="C6" s="60">
        <v>0.1</v>
      </c>
      <c r="D6" s="61" t="s">
        <v>140</v>
      </c>
      <c r="E6" s="61" t="s">
        <v>141</v>
      </c>
      <c r="F6" s="61" t="s">
        <v>142</v>
      </c>
      <c r="G6" s="54" t="s">
        <v>143</v>
      </c>
      <c r="H6" s="44" t="s">
        <v>124</v>
      </c>
      <c r="I6" s="27">
        <f t="shared" ref="I6:I13" si="0">_xlfn.XLOOKUP(H6,$L$4:$L$11,$M$4:$M$11,"",0)*C6</f>
        <v>2</v>
      </c>
      <c r="J6" s="3"/>
      <c r="L6" s="52" t="s">
        <v>200</v>
      </c>
      <c r="M6" s="53">
        <v>6</v>
      </c>
    </row>
    <row r="7" spans="2:13" ht="28.8" x14ac:dyDescent="0.35">
      <c r="B7" s="24" t="s">
        <v>125</v>
      </c>
      <c r="C7" s="60">
        <v>0.1</v>
      </c>
      <c r="D7" s="61" t="s">
        <v>144</v>
      </c>
      <c r="E7" s="61" t="s">
        <v>145</v>
      </c>
      <c r="F7" s="61" t="s">
        <v>146</v>
      </c>
      <c r="G7" s="54" t="s">
        <v>202</v>
      </c>
      <c r="H7" s="45" t="s">
        <v>147</v>
      </c>
      <c r="I7" s="27">
        <f t="shared" si="0"/>
        <v>1.8</v>
      </c>
      <c r="J7" s="3" t="s">
        <v>313</v>
      </c>
      <c r="L7" s="52" t="s">
        <v>201</v>
      </c>
      <c r="M7" s="53">
        <v>9</v>
      </c>
    </row>
    <row r="8" spans="2:13" ht="28.8" x14ac:dyDescent="0.35">
      <c r="B8" s="62" t="s">
        <v>126</v>
      </c>
      <c r="C8" s="60">
        <v>0.1</v>
      </c>
      <c r="D8" s="61" t="s">
        <v>148</v>
      </c>
      <c r="E8" s="61" t="s">
        <v>149</v>
      </c>
      <c r="F8" s="61" t="s">
        <v>150</v>
      </c>
      <c r="G8" s="54" t="s">
        <v>151</v>
      </c>
      <c r="H8" s="46" t="s">
        <v>152</v>
      </c>
      <c r="I8" s="27">
        <f t="shared" si="0"/>
        <v>1.2000000000000002</v>
      </c>
      <c r="J8" s="3" t="s">
        <v>314</v>
      </c>
      <c r="L8" s="52" t="s">
        <v>152</v>
      </c>
      <c r="M8" s="53">
        <v>12</v>
      </c>
    </row>
    <row r="9" spans="2:13" ht="28.8" x14ac:dyDescent="0.35">
      <c r="B9" s="24" t="s">
        <v>127</v>
      </c>
      <c r="C9" s="60">
        <v>0.1</v>
      </c>
      <c r="D9" s="61" t="s">
        <v>153</v>
      </c>
      <c r="E9" s="61" t="s">
        <v>154</v>
      </c>
      <c r="F9" s="61" t="s">
        <v>155</v>
      </c>
      <c r="G9" s="54" t="s">
        <v>128</v>
      </c>
      <c r="H9" s="47" t="s">
        <v>129</v>
      </c>
      <c r="I9" s="27">
        <f t="shared" si="0"/>
        <v>1.5</v>
      </c>
      <c r="J9" s="3" t="s">
        <v>130</v>
      </c>
      <c r="L9" s="52" t="s">
        <v>129</v>
      </c>
      <c r="M9" s="53">
        <v>15</v>
      </c>
    </row>
    <row r="10" spans="2:13" ht="28.8" x14ac:dyDescent="0.35">
      <c r="B10" s="62" t="s">
        <v>131</v>
      </c>
      <c r="C10" s="60">
        <v>0.1</v>
      </c>
      <c r="D10" s="61" t="s">
        <v>156</v>
      </c>
      <c r="E10" s="61" t="s">
        <v>157</v>
      </c>
      <c r="F10" s="61" t="s">
        <v>158</v>
      </c>
      <c r="G10" s="54" t="s">
        <v>159</v>
      </c>
      <c r="H10" s="44" t="s">
        <v>124</v>
      </c>
      <c r="I10" s="27">
        <f t="shared" si="0"/>
        <v>2</v>
      </c>
      <c r="J10" s="3"/>
      <c r="L10" s="52" t="s">
        <v>147</v>
      </c>
      <c r="M10" s="53">
        <v>18</v>
      </c>
    </row>
    <row r="11" spans="2:13" ht="29.4" thickBot="1" x14ac:dyDescent="0.4">
      <c r="B11" s="62" t="s">
        <v>203</v>
      </c>
      <c r="C11" s="60">
        <v>0.05</v>
      </c>
      <c r="D11" s="61" t="s">
        <v>160</v>
      </c>
      <c r="E11" s="61" t="s">
        <v>161</v>
      </c>
      <c r="F11" s="61" t="s">
        <v>162</v>
      </c>
      <c r="G11" s="63">
        <f>'Key Financials'!C21</f>
        <v>-3.9681818181818178</v>
      </c>
      <c r="H11" s="44" t="s">
        <v>124</v>
      </c>
      <c r="I11" s="27">
        <f t="shared" si="0"/>
        <v>1</v>
      </c>
      <c r="J11" s="3"/>
      <c r="L11" s="55" t="s">
        <v>124</v>
      </c>
      <c r="M11" s="56">
        <v>20</v>
      </c>
    </row>
    <row r="12" spans="2:13" ht="28.8" x14ac:dyDescent="0.35">
      <c r="B12" s="62" t="s">
        <v>204</v>
      </c>
      <c r="C12" s="60">
        <v>0.05</v>
      </c>
      <c r="D12" s="61" t="s">
        <v>163</v>
      </c>
      <c r="E12" s="61" t="s">
        <v>164</v>
      </c>
      <c r="F12" s="61" t="s">
        <v>165</v>
      </c>
      <c r="G12" s="48">
        <f>-645.8/68.56</f>
        <v>-9.419486581096848</v>
      </c>
      <c r="H12" s="44" t="s">
        <v>124</v>
      </c>
      <c r="I12" s="27">
        <f t="shared" si="0"/>
        <v>1</v>
      </c>
      <c r="J12" s="3" t="s">
        <v>205</v>
      </c>
    </row>
    <row r="13" spans="2:13" ht="43.2" x14ac:dyDescent="0.35">
      <c r="B13" s="24" t="s">
        <v>132</v>
      </c>
      <c r="C13" s="60">
        <v>0.15</v>
      </c>
      <c r="D13" s="61" t="s">
        <v>166</v>
      </c>
      <c r="E13" s="61" t="s">
        <v>167</v>
      </c>
      <c r="F13" s="61" t="s">
        <v>168</v>
      </c>
      <c r="G13" s="54" t="s">
        <v>169</v>
      </c>
      <c r="H13" s="46" t="s">
        <v>152</v>
      </c>
      <c r="I13" s="27">
        <f t="shared" si="0"/>
        <v>1.7999999999999998</v>
      </c>
      <c r="J13" s="3"/>
    </row>
    <row r="14" spans="2:13" x14ac:dyDescent="0.35">
      <c r="B14" s="119" t="s">
        <v>170</v>
      </c>
      <c r="C14" s="119"/>
      <c r="D14" s="119"/>
      <c r="E14" s="119"/>
      <c r="F14" s="119"/>
      <c r="G14" s="119"/>
      <c r="H14" s="119"/>
      <c r="I14" s="22">
        <f>SUM(I5:I13)</f>
        <v>17.3</v>
      </c>
      <c r="J14" s="57" t="s">
        <v>206</v>
      </c>
    </row>
    <row r="16" spans="2:13" x14ac:dyDescent="0.35">
      <c r="B16" s="119" t="s">
        <v>216</v>
      </c>
      <c r="C16" s="119"/>
      <c r="D16" s="119"/>
      <c r="E16" s="119"/>
      <c r="F16" s="119"/>
      <c r="G16" s="119"/>
      <c r="H16" s="119"/>
      <c r="I16" s="119"/>
      <c r="J16" s="119"/>
    </row>
    <row r="17" spans="2:10" x14ac:dyDescent="0.35">
      <c r="B17" s="105" t="s">
        <v>171</v>
      </c>
      <c r="C17" s="120">
        <v>755.9</v>
      </c>
      <c r="D17" s="120"/>
      <c r="E17" s="120"/>
      <c r="F17" s="120"/>
      <c r="G17" s="120"/>
      <c r="H17" s="120"/>
      <c r="I17" s="121" t="s">
        <v>172</v>
      </c>
      <c r="J17" s="121"/>
    </row>
    <row r="18" spans="2:10" x14ac:dyDescent="0.35">
      <c r="B18" s="105" t="s">
        <v>207</v>
      </c>
      <c r="C18" s="120">
        <v>888</v>
      </c>
      <c r="D18" s="120"/>
      <c r="E18" s="120"/>
      <c r="F18" s="120"/>
      <c r="G18" s="120"/>
      <c r="H18" s="120"/>
      <c r="I18" s="121" t="s">
        <v>173</v>
      </c>
      <c r="J18" s="121"/>
    </row>
    <row r="19" spans="2:10" x14ac:dyDescent="0.35">
      <c r="B19" s="105" t="s">
        <v>174</v>
      </c>
      <c r="C19" s="120">
        <f>C18-C17</f>
        <v>132.10000000000002</v>
      </c>
      <c r="D19" s="120"/>
      <c r="E19" s="120"/>
      <c r="F19" s="120"/>
      <c r="G19" s="120"/>
      <c r="H19" s="120"/>
      <c r="I19" s="121"/>
      <c r="J19" s="121"/>
    </row>
    <row r="20" spans="2:10" ht="32.4" customHeight="1" x14ac:dyDescent="0.35">
      <c r="B20" s="105" t="s">
        <v>175</v>
      </c>
      <c r="C20" s="120" t="s">
        <v>317</v>
      </c>
      <c r="D20" s="120"/>
      <c r="E20" s="120"/>
      <c r="F20" s="120"/>
      <c r="G20" s="120"/>
      <c r="H20" s="120"/>
      <c r="I20" s="121" t="s">
        <v>176</v>
      </c>
      <c r="J20" s="121"/>
    </row>
    <row r="21" spans="2:10" ht="26.4" customHeight="1" thickBot="1" x14ac:dyDescent="0.4">
      <c r="B21" s="2" t="s">
        <v>177</v>
      </c>
      <c r="C21" s="127" t="s">
        <v>178</v>
      </c>
      <c r="D21" s="127"/>
      <c r="E21" s="127"/>
      <c r="F21" s="127"/>
      <c r="G21" s="127"/>
      <c r="H21" s="127"/>
      <c r="I21" s="112"/>
      <c r="J21" s="112"/>
    </row>
    <row r="22" spans="2:10" ht="15" thickBot="1" x14ac:dyDescent="0.4">
      <c r="B22" s="59" t="s">
        <v>179</v>
      </c>
      <c r="C22" s="123" t="s">
        <v>180</v>
      </c>
      <c r="D22" s="123"/>
      <c r="E22" s="123"/>
      <c r="F22" s="123"/>
      <c r="G22" s="123"/>
      <c r="H22" s="123"/>
      <c r="I22" s="124" t="s">
        <v>210</v>
      </c>
      <c r="J22" s="125"/>
    </row>
    <row r="24" spans="2:10" x14ac:dyDescent="0.35">
      <c r="B24" s="58" t="s">
        <v>208</v>
      </c>
    </row>
    <row r="25" spans="2:10" ht="13.05" customHeight="1" x14ac:dyDescent="0.35">
      <c r="B25" s="126" t="s">
        <v>209</v>
      </c>
      <c r="C25" s="126"/>
      <c r="D25" s="126"/>
      <c r="E25" s="126"/>
      <c r="F25" s="126"/>
      <c r="G25" s="126"/>
      <c r="H25" s="126"/>
      <c r="I25" s="126"/>
      <c r="J25" s="126"/>
    </row>
    <row r="26" spans="2:10" ht="13.05" customHeight="1" x14ac:dyDescent="0.35">
      <c r="B26" s="126"/>
      <c r="C26" s="126"/>
      <c r="D26" s="126"/>
      <c r="E26" s="126"/>
      <c r="F26" s="126"/>
      <c r="G26" s="126"/>
      <c r="H26" s="126"/>
      <c r="I26" s="126"/>
      <c r="J26" s="126"/>
    </row>
    <row r="27" spans="2:10" ht="13.05" customHeight="1" x14ac:dyDescent="0.35">
      <c r="B27" s="126"/>
      <c r="C27" s="126"/>
      <c r="D27" s="126"/>
      <c r="E27" s="126"/>
      <c r="F27" s="126"/>
      <c r="G27" s="126"/>
      <c r="H27" s="126"/>
      <c r="I27" s="126"/>
      <c r="J27" s="126"/>
    </row>
    <row r="28" spans="2:10" ht="13.05" customHeight="1" x14ac:dyDescent="0.35">
      <c r="B28" s="126"/>
      <c r="C28" s="126"/>
      <c r="D28" s="126"/>
      <c r="E28" s="126"/>
      <c r="F28" s="126"/>
      <c r="G28" s="126"/>
      <c r="H28" s="126"/>
      <c r="I28" s="126"/>
      <c r="J28" s="126"/>
    </row>
    <row r="53" spans="2:2" x14ac:dyDescent="0.35">
      <c r="B53" s="1" t="s">
        <v>211</v>
      </c>
    </row>
  </sheetData>
  <mergeCells count="18">
    <mergeCell ref="C22:H22"/>
    <mergeCell ref="I22:J22"/>
    <mergeCell ref="B25:J28"/>
    <mergeCell ref="I19:J19"/>
    <mergeCell ref="C20:H20"/>
    <mergeCell ref="I20:J20"/>
    <mergeCell ref="C21:H21"/>
    <mergeCell ref="I21:J21"/>
    <mergeCell ref="B1:J1"/>
    <mergeCell ref="B2:J2"/>
    <mergeCell ref="B3:J3"/>
    <mergeCell ref="B14:H14"/>
    <mergeCell ref="B16:J16"/>
    <mergeCell ref="C17:H17"/>
    <mergeCell ref="I17:J17"/>
    <mergeCell ref="C18:H18"/>
    <mergeCell ref="I18:J18"/>
    <mergeCell ref="C19:H19"/>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F2894-A555-4CF3-AE5E-C15620653E38}">
  <dimension ref="B2:F10"/>
  <sheetViews>
    <sheetView showGridLines="0" zoomScaleNormal="100" workbookViewId="0">
      <selection activeCell="B10" sqref="B10:F10"/>
    </sheetView>
  </sheetViews>
  <sheetFormatPr defaultRowHeight="14.4" x14ac:dyDescent="0.35"/>
  <cols>
    <col min="1" max="1" width="8.88671875" style="1"/>
    <col min="2" max="4" width="20.77734375" style="1" customWidth="1"/>
    <col min="5" max="5" width="45.21875" style="1" customWidth="1"/>
    <col min="6" max="6" width="37.6640625" style="1" customWidth="1"/>
    <col min="7" max="16384" width="8.88671875" style="1"/>
  </cols>
  <sheetData>
    <row r="2" spans="2:6" ht="28.8" x14ac:dyDescent="0.35">
      <c r="B2" s="20" t="s">
        <v>75</v>
      </c>
      <c r="C2" s="20" t="s">
        <v>79</v>
      </c>
      <c r="D2" s="20" t="s">
        <v>76</v>
      </c>
      <c r="E2" s="20" t="s">
        <v>107</v>
      </c>
      <c r="F2" s="20" t="s">
        <v>108</v>
      </c>
    </row>
    <row r="3" spans="2:6" ht="72" x14ac:dyDescent="0.35">
      <c r="B3" s="21" t="s">
        <v>81</v>
      </c>
      <c r="C3" s="21" t="s">
        <v>82</v>
      </c>
      <c r="D3" s="21" t="s">
        <v>83</v>
      </c>
      <c r="E3" s="21" t="s">
        <v>84</v>
      </c>
      <c r="F3" s="21" t="s">
        <v>85</v>
      </c>
    </row>
    <row r="4" spans="2:6" ht="72" x14ac:dyDescent="0.35">
      <c r="B4" s="21" t="s">
        <v>86</v>
      </c>
      <c r="C4" s="21" t="s">
        <v>87</v>
      </c>
      <c r="D4" s="21" t="s">
        <v>88</v>
      </c>
      <c r="E4" s="21" t="s">
        <v>89</v>
      </c>
      <c r="F4" s="21" t="s">
        <v>90</v>
      </c>
    </row>
    <row r="5" spans="2:6" ht="72" x14ac:dyDescent="0.35">
      <c r="B5" s="21" t="s">
        <v>91</v>
      </c>
      <c r="C5" s="21" t="s">
        <v>92</v>
      </c>
      <c r="D5" s="21" t="s">
        <v>88</v>
      </c>
      <c r="E5" s="21" t="s">
        <v>93</v>
      </c>
      <c r="F5" s="21" t="s">
        <v>94</v>
      </c>
    </row>
    <row r="6" spans="2:6" ht="72" x14ac:dyDescent="0.35">
      <c r="B6" s="21" t="s">
        <v>95</v>
      </c>
      <c r="C6" s="21" t="s">
        <v>96</v>
      </c>
      <c r="D6" s="21" t="s">
        <v>97</v>
      </c>
      <c r="E6" s="21" t="s">
        <v>98</v>
      </c>
      <c r="F6" s="21" t="s">
        <v>99</v>
      </c>
    </row>
    <row r="7" spans="2:6" ht="86.4" x14ac:dyDescent="0.35">
      <c r="B7" s="21" t="s">
        <v>100</v>
      </c>
      <c r="C7" s="21" t="s">
        <v>101</v>
      </c>
      <c r="D7" s="21" t="s">
        <v>88</v>
      </c>
      <c r="E7" s="21" t="s">
        <v>102</v>
      </c>
      <c r="F7" s="21" t="s">
        <v>103</v>
      </c>
    </row>
    <row r="8" spans="2:6" ht="57.6" x14ac:dyDescent="0.35">
      <c r="B8" s="21" t="s">
        <v>78</v>
      </c>
      <c r="C8" s="21" t="s">
        <v>80</v>
      </c>
      <c r="D8" s="21" t="s">
        <v>104</v>
      </c>
      <c r="E8" s="21" t="s">
        <v>105</v>
      </c>
      <c r="F8" s="21" t="s">
        <v>106</v>
      </c>
    </row>
    <row r="10" spans="2:6" ht="28.2" customHeight="1" x14ac:dyDescent="0.35">
      <c r="B10" s="128" t="s">
        <v>312</v>
      </c>
      <c r="C10" s="128"/>
      <c r="D10" s="128"/>
      <c r="E10" s="128"/>
      <c r="F10" s="128"/>
    </row>
  </sheetData>
  <mergeCells count="1">
    <mergeCell ref="B10:F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0D818-5B9A-4701-B629-14275D565578}">
  <dimension ref="A1"/>
  <sheetViews>
    <sheetView showGridLines="0" workbookViewId="0">
      <selection activeCell="D20" sqref="D20"/>
    </sheetView>
  </sheetViews>
  <sheetFormatPr defaultRowHeight="14.4" x14ac:dyDescent="0.35"/>
  <cols>
    <col min="1" max="16384" width="8.88671875" style="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Valuation Summary</vt:lpstr>
      <vt:lpstr>Assumptions and Terms</vt:lpstr>
      <vt:lpstr>Straight Bond</vt:lpstr>
      <vt:lpstr>BSM</vt:lpstr>
      <vt:lpstr>Binomial</vt:lpstr>
      <vt:lpstr>Volatility</vt:lpstr>
      <vt:lpstr>Key Financials</vt:lpstr>
      <vt:lpstr>Credit Rating</vt:lpstr>
      <vt:lpstr>Comps </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Prachi Sanjay Gosalia</cp:lastModifiedBy>
  <cp:revision>0</cp:revision>
  <dcterms:created xsi:type="dcterms:W3CDTF">2026-06-05T12:50:24Z</dcterms:created>
  <dcterms:modified xsi:type="dcterms:W3CDTF">2026-06-15T21:06:16Z</dcterms:modified>
  <dc:language>en-US</dc:language>
</cp:coreProperties>
</file>