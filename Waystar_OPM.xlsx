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9ac361a4f570363b/Desktop/Prachi/GitHub/"/>
    </mc:Choice>
  </mc:AlternateContent>
  <xr:revisionPtr revIDLastSave="2" documentId="8_{2FE028B4-6104-450C-8CC9-82FA286ADFB2}" xr6:coauthVersionLast="47" xr6:coauthVersionMax="47" xr10:uidLastSave="{606A1EC7-947B-43E8-A8FE-E604DD75E6AB}"/>
  <bookViews>
    <workbookView xWindow="-108" yWindow="-108" windowWidth="23256" windowHeight="13896" tabRatio="500" activeTab="1" xr2:uid="{00000000-000D-0000-FFFF-FFFF00000000}"/>
  </bookViews>
  <sheets>
    <sheet name="Overview" sheetId="4" r:id="rId1"/>
    <sheet name="OPM" sheetId="1" r:id="rId2"/>
    <sheet name="Peer Volatility" sheetId="3" r:id="rId3"/>
    <sheet name="Market Approach" sheetId="5" r:id="rId4"/>
    <sheet name="Comps Set" sheetId="6" r:id="rId5"/>
    <sheet name="References" sheetId="2" r:id="rId6"/>
  </sheets>
  <externalReferences>
    <externalReference r:id="rId7"/>
    <externalReference r:id="rId8"/>
    <externalReference r:id="rId9"/>
    <externalReference r:id="rId10"/>
  </externalReferences>
  <definedNames>
    <definedName name="Annual_Periods">OFFSET(#REF!,0,1):OFFSET(#REF!,0,-1)</definedName>
    <definedName name="BS_End">#REF!</definedName>
    <definedName name="BS_Start">#REF!</definedName>
    <definedName name="CIQWBGuid" hidden="1">"Project Friend - Projections and Model.xlsx"</definedName>
    <definedName name="Comp_Name">[1]Assumptions!$B$2</definedName>
    <definedName name="Cost_of_Debt">[2]Assumptions!$B$15</definedName>
    <definedName name="Cost_of_Equity">[2]Assumptions!$B$22</definedName>
    <definedName name="Country_RP">[2]Assumptions!$B$19</definedName>
    <definedName name="Cur">[3]Input!$E$7</definedName>
    <definedName name="Current_Price">[1]Assumptions!$B$4</definedName>
    <definedName name="Cut_off">[3]Input!$E$3</definedName>
    <definedName name="DCF_Enterprise_Value">[1]DCF!$C$52</definedName>
    <definedName name="DCF_Enterprise_Value_PerShare">[1]DCF!$D$52</definedName>
    <definedName name="DCF_Equity_Value">[1]DCF!$C$54</definedName>
    <definedName name="DCF_Equity_Value_PerShare">[1]DCF!$D$54</definedName>
    <definedName name="Debt_Adj_Factor">[2]Assumptions!$B$13</definedName>
    <definedName name="Debt_MV">[2]Assumptions!$B$28</definedName>
    <definedName name="Equity_Beta">[2]Assumptions!$B$21</definedName>
    <definedName name="Equity_MV">[2]Assumptions!$B$27</definedName>
    <definedName name="Equity_Risk_Premium">[2]Assumptions!$B$18</definedName>
    <definedName name="g">[3]Input!$C$17</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44280.7903587963</definedName>
    <definedName name="IQ_QTD" hidden="1">750000</definedName>
    <definedName name="IQ_TODAY" hidden="1">0</definedName>
    <definedName name="IQ_YTDMONTH" hidden="1">130000</definedName>
    <definedName name="Risk_Free_Rate">[2]Assumptions!$B$12</definedName>
    <definedName name="Scale_Symbol">[1]Assumptions!$D$6</definedName>
    <definedName name="Scaler">[1]Assumptions!$C$6</definedName>
    <definedName name="Shares_Out">[2]Assumptions!$B$25</definedName>
    <definedName name="Size_RP">[2]Assumptions!$B$20</definedName>
    <definedName name="Tax_Rate">[2]Assumptions!$B$14</definedName>
    <definedName name="Terminal_Rate">[1]Assumptions!$B$34</definedName>
    <definedName name="Total_Capitalization">[2]Assumptions!$B$29</definedName>
    <definedName name="WACC">[2]Assumptions!$C$30</definedName>
    <definedName name="WACC_Override">[4]DCF!$K$21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85" i="1" l="1"/>
  <c r="B79" i="1"/>
  <c r="B7" i="1"/>
  <c r="E21" i="5"/>
  <c r="D21" i="5"/>
  <c r="L7" i="5"/>
  <c r="L8" i="5"/>
  <c r="L9" i="5"/>
  <c r="K7" i="5"/>
  <c r="K8" i="5"/>
  <c r="K9" i="5"/>
  <c r="E25" i="5"/>
  <c r="D25" i="5"/>
  <c r="E23" i="5"/>
  <c r="D23" i="5"/>
  <c r="E22" i="5"/>
  <c r="D22" i="5"/>
  <c r="F14" i="5"/>
  <c r="E14" i="5"/>
  <c r="D14" i="5"/>
  <c r="C14" i="5"/>
  <c r="B14" i="5"/>
  <c r="F13" i="5"/>
  <c r="E13" i="5"/>
  <c r="D13" i="5"/>
  <c r="C13" i="5"/>
  <c r="B13" i="5"/>
  <c r="F12" i="5"/>
  <c r="E12" i="5"/>
  <c r="D12" i="5"/>
  <c r="C12" i="5"/>
  <c r="B12" i="5"/>
  <c r="F11" i="5"/>
  <c r="E11" i="5"/>
  <c r="D11" i="5"/>
  <c r="C11" i="5"/>
  <c r="B11" i="5"/>
  <c r="F10" i="5"/>
  <c r="E10" i="5"/>
  <c r="D10" i="5"/>
  <c r="C10" i="5"/>
  <c r="B10" i="5"/>
  <c r="F9" i="5"/>
  <c r="E9" i="5"/>
  <c r="D9" i="5"/>
  <c r="C9" i="5"/>
  <c r="B9" i="5"/>
  <c r="F8" i="5"/>
  <c r="E8" i="5"/>
  <c r="D8" i="5"/>
  <c r="C8" i="5"/>
  <c r="B8" i="5"/>
  <c r="F7" i="5"/>
  <c r="E7" i="5"/>
  <c r="D7" i="5"/>
  <c r="C7" i="5"/>
  <c r="B7" i="5"/>
  <c r="F6" i="5"/>
  <c r="E6" i="5"/>
  <c r="D6" i="5"/>
  <c r="C6" i="5"/>
  <c r="B6" i="5"/>
  <c r="F4" i="5"/>
  <c r="E4" i="5"/>
  <c r="R6" i="3"/>
  <c r="R7" i="3"/>
  <c r="R8" i="3"/>
  <c r="R9" i="3"/>
  <c r="R5" i="3"/>
  <c r="E26" i="1"/>
  <c r="E27" i="1"/>
  <c r="E28" i="1"/>
  <c r="E25" i="1"/>
  <c r="B82" i="1"/>
  <c r="B14" i="1"/>
  <c r="L252" i="3"/>
  <c r="L251" i="3"/>
  <c r="L250" i="3"/>
  <c r="L249" i="3"/>
  <c r="L248" i="3"/>
  <c r="L247" i="3"/>
  <c r="L246" i="3"/>
  <c r="L245" i="3"/>
  <c r="L244" i="3"/>
  <c r="L243" i="3"/>
  <c r="L242" i="3"/>
  <c r="L241" i="3"/>
  <c r="L240" i="3"/>
  <c r="L239" i="3"/>
  <c r="L238" i="3"/>
  <c r="L237" i="3"/>
  <c r="L236" i="3"/>
  <c r="L235" i="3"/>
  <c r="L234" i="3"/>
  <c r="L233" i="3"/>
  <c r="L232" i="3"/>
  <c r="L231" i="3"/>
  <c r="L230" i="3"/>
  <c r="L229" i="3"/>
  <c r="L228" i="3"/>
  <c r="L227" i="3"/>
  <c r="L226" i="3"/>
  <c r="L225" i="3"/>
  <c r="L224" i="3"/>
  <c r="L223" i="3"/>
  <c r="L222" i="3"/>
  <c r="L221" i="3"/>
  <c r="L220" i="3"/>
  <c r="L219" i="3"/>
  <c r="L218" i="3"/>
  <c r="L217" i="3"/>
  <c r="L216" i="3"/>
  <c r="L215" i="3"/>
  <c r="L214" i="3"/>
  <c r="L213" i="3"/>
  <c r="L212" i="3"/>
  <c r="L211" i="3"/>
  <c r="L210" i="3"/>
  <c r="L209" i="3"/>
  <c r="L208" i="3"/>
  <c r="L207" i="3"/>
  <c r="L206" i="3"/>
  <c r="L205" i="3"/>
  <c r="L204" i="3"/>
  <c r="L203" i="3"/>
  <c r="L202" i="3"/>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J252" i="3"/>
  <c r="J251" i="3"/>
  <c r="J250" i="3"/>
  <c r="J249" i="3"/>
  <c r="J248" i="3"/>
  <c r="J247" i="3"/>
  <c r="J246" i="3"/>
  <c r="J245" i="3"/>
  <c r="J244" i="3"/>
  <c r="J243" i="3"/>
  <c r="J242" i="3"/>
  <c r="J241" i="3"/>
  <c r="J240" i="3"/>
  <c r="J239" i="3"/>
  <c r="J238" i="3"/>
  <c r="J237" i="3"/>
  <c r="J236" i="3"/>
  <c r="J235" i="3"/>
  <c r="J234" i="3"/>
  <c r="J233" i="3"/>
  <c r="J232" i="3"/>
  <c r="J231" i="3"/>
  <c r="J230" i="3"/>
  <c r="J229" i="3"/>
  <c r="J228" i="3"/>
  <c r="J227" i="3"/>
  <c r="J226" i="3"/>
  <c r="J225" i="3"/>
  <c r="J224" i="3"/>
  <c r="J223" i="3"/>
  <c r="J222" i="3"/>
  <c r="J221" i="3"/>
  <c r="J220" i="3"/>
  <c r="J219" i="3"/>
  <c r="J218" i="3"/>
  <c r="J217" i="3"/>
  <c r="J216" i="3"/>
  <c r="J215" i="3"/>
  <c r="J214" i="3"/>
  <c r="J213" i="3"/>
  <c r="J212" i="3"/>
  <c r="J211" i="3"/>
  <c r="J210" i="3"/>
  <c r="J209" i="3"/>
  <c r="J208" i="3"/>
  <c r="J207" i="3"/>
  <c r="J206" i="3"/>
  <c r="J205" i="3"/>
  <c r="J204" i="3"/>
  <c r="J203" i="3"/>
  <c r="J202" i="3"/>
  <c r="J201" i="3"/>
  <c r="J200" i="3"/>
  <c r="J199" i="3"/>
  <c r="J198" i="3"/>
  <c r="J197" i="3"/>
  <c r="J196" i="3"/>
  <c r="J195" i="3"/>
  <c r="J194" i="3"/>
  <c r="J193" i="3"/>
  <c r="J192" i="3"/>
  <c r="J191" i="3"/>
  <c r="J190" i="3"/>
  <c r="J189" i="3"/>
  <c r="J188" i="3"/>
  <c r="J187" i="3"/>
  <c r="J186" i="3"/>
  <c r="J185" i="3"/>
  <c r="J184" i="3"/>
  <c r="J183" i="3"/>
  <c r="J182" i="3"/>
  <c r="J181" i="3"/>
  <c r="J180" i="3"/>
  <c r="J179" i="3"/>
  <c r="J178" i="3"/>
  <c r="J177" i="3"/>
  <c r="J176" i="3"/>
  <c r="J175" i="3"/>
  <c r="J174" i="3"/>
  <c r="J173" i="3"/>
  <c r="J172" i="3"/>
  <c r="J171" i="3"/>
  <c r="J170" i="3"/>
  <c r="J169" i="3"/>
  <c r="J168" i="3"/>
  <c r="J167" i="3"/>
  <c r="J166" i="3"/>
  <c r="J165" i="3"/>
  <c r="J164" i="3"/>
  <c r="J163" i="3"/>
  <c r="J162" i="3"/>
  <c r="J161" i="3"/>
  <c r="J160" i="3"/>
  <c r="J159" i="3"/>
  <c r="J158" i="3"/>
  <c r="J157" i="3"/>
  <c r="J156" i="3"/>
  <c r="J155" i="3"/>
  <c r="J154" i="3"/>
  <c r="J153" i="3"/>
  <c r="J152" i="3"/>
  <c r="J151" i="3"/>
  <c r="J150" i="3"/>
  <c r="J149" i="3"/>
  <c r="J148" i="3"/>
  <c r="J147" i="3"/>
  <c r="J146" i="3"/>
  <c r="J145" i="3"/>
  <c r="J144" i="3"/>
  <c r="J143"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J7" i="3"/>
  <c r="J6" i="3"/>
  <c r="J5" i="3"/>
  <c r="H252" i="3"/>
  <c r="H251" i="3"/>
  <c r="H250" i="3"/>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H192" i="3"/>
  <c r="H191" i="3"/>
  <c r="H190" i="3"/>
  <c r="H189" i="3"/>
  <c r="H188" i="3"/>
  <c r="H187" i="3"/>
  <c r="H186" i="3"/>
  <c r="H185" i="3"/>
  <c r="H184" i="3"/>
  <c r="H183" i="3"/>
  <c r="H182" i="3"/>
  <c r="H181" i="3"/>
  <c r="H180" i="3"/>
  <c r="H179" i="3"/>
  <c r="H178" i="3"/>
  <c r="H177" i="3"/>
  <c r="H176" i="3"/>
  <c r="H175" i="3"/>
  <c r="H174" i="3"/>
  <c r="H173" i="3"/>
  <c r="H172" i="3"/>
  <c r="H171" i="3"/>
  <c r="H170" i="3"/>
  <c r="H169" i="3"/>
  <c r="H168" i="3"/>
  <c r="H167" i="3"/>
  <c r="H166" i="3"/>
  <c r="H165" i="3"/>
  <c r="H164" i="3"/>
  <c r="H163" i="3"/>
  <c r="H162" i="3"/>
  <c r="H161" i="3"/>
  <c r="H160" i="3"/>
  <c r="H159" i="3"/>
  <c r="H158" i="3"/>
  <c r="H157" i="3"/>
  <c r="H156" i="3"/>
  <c r="H155" i="3"/>
  <c r="H154" i="3"/>
  <c r="H153" i="3"/>
  <c r="H152" i="3"/>
  <c r="H151" i="3"/>
  <c r="H150" i="3"/>
  <c r="H149" i="3"/>
  <c r="H148" i="3"/>
  <c r="H147" i="3"/>
  <c r="H146" i="3"/>
  <c r="H145" i="3"/>
  <c r="H144" i="3"/>
  <c r="H143" i="3"/>
  <c r="H142" i="3"/>
  <c r="H141" i="3"/>
  <c r="H140" i="3"/>
  <c r="H139" i="3"/>
  <c r="H138" i="3"/>
  <c r="H137" i="3"/>
  <c r="H136" i="3"/>
  <c r="H135" i="3"/>
  <c r="H134" i="3"/>
  <c r="H133" i="3"/>
  <c r="H132" i="3"/>
  <c r="H131" i="3"/>
  <c r="H130" i="3"/>
  <c r="H129" i="3"/>
  <c r="H128" i="3"/>
  <c r="H127" i="3"/>
  <c r="H126" i="3"/>
  <c r="H125" i="3"/>
  <c r="H124" i="3"/>
  <c r="H123" i="3"/>
  <c r="H122" i="3"/>
  <c r="H121" i="3"/>
  <c r="H120" i="3"/>
  <c r="H119" i="3"/>
  <c r="H118" i="3"/>
  <c r="H117" i="3"/>
  <c r="H116" i="3"/>
  <c r="H115" i="3"/>
  <c r="H114" i="3"/>
  <c r="H113" i="3"/>
  <c r="H112" i="3"/>
  <c r="H111" i="3"/>
  <c r="H110" i="3"/>
  <c r="H109" i="3"/>
  <c r="H108" i="3"/>
  <c r="H107" i="3"/>
  <c r="H106" i="3"/>
  <c r="H105" i="3"/>
  <c r="H104" i="3"/>
  <c r="H103" i="3"/>
  <c r="H102" i="3"/>
  <c r="H101" i="3"/>
  <c r="H100" i="3"/>
  <c r="H99" i="3"/>
  <c r="H98" i="3"/>
  <c r="H97" i="3"/>
  <c r="H96" i="3"/>
  <c r="H95" i="3"/>
  <c r="H94" i="3"/>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F252" i="3"/>
  <c r="F251" i="3"/>
  <c r="F250" i="3"/>
  <c r="F249" i="3"/>
  <c r="F248" i="3"/>
  <c r="F247" i="3"/>
  <c r="F246" i="3"/>
  <c r="F245" i="3"/>
  <c r="F244" i="3"/>
  <c r="F243" i="3"/>
  <c r="F242" i="3"/>
  <c r="F241" i="3"/>
  <c r="F240" i="3"/>
  <c r="F239" i="3"/>
  <c r="F238" i="3"/>
  <c r="F237" i="3"/>
  <c r="F236" i="3"/>
  <c r="F235" i="3"/>
  <c r="F234" i="3"/>
  <c r="F233" i="3"/>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5" i="3"/>
  <c r="B19" i="1"/>
  <c r="B8" i="1"/>
  <c r="B86" i="1"/>
  <c r="B81" i="1"/>
  <c r="B80" i="1"/>
  <c r="B68" i="1"/>
  <c r="G58" i="1"/>
  <c r="G57" i="1"/>
  <c r="G56" i="1"/>
  <c r="G55" i="1"/>
  <c r="F29" i="1"/>
  <c r="B29" i="1"/>
  <c r="C28" i="1"/>
  <c r="C27" i="1"/>
  <c r="C26" i="1"/>
  <c r="C25" i="1"/>
  <c r="B34" i="1" l="1"/>
  <c r="D27" i="1"/>
  <c r="D28" i="1"/>
  <c r="D25" i="1"/>
  <c r="D26" i="1"/>
  <c r="B77" i="1"/>
  <c r="B17" i="1"/>
  <c r="E20" i="5"/>
  <c r="D20" i="5"/>
  <c r="H14" i="5"/>
  <c r="K14" i="5" s="1"/>
  <c r="G14" i="5"/>
  <c r="H13" i="5"/>
  <c r="K13" i="5" s="1"/>
  <c r="I12" i="5"/>
  <c r="L12" i="5" s="1"/>
  <c r="G12" i="5"/>
  <c r="H11" i="5"/>
  <c r="K11" i="5" s="1"/>
  <c r="I10" i="5"/>
  <c r="L10" i="5" s="1"/>
  <c r="H10" i="5"/>
  <c r="K10" i="5" s="1"/>
  <c r="I9" i="5"/>
  <c r="I7" i="5"/>
  <c r="H7" i="5"/>
  <c r="I6" i="5"/>
  <c r="L6" i="5" s="1"/>
  <c r="H6" i="5"/>
  <c r="K6" i="5" s="1"/>
  <c r="G6" i="5"/>
  <c r="G4" i="5"/>
  <c r="H8" i="5"/>
  <c r="I14" i="5"/>
  <c r="L14" i="5" s="1"/>
  <c r="I13" i="5"/>
  <c r="L13" i="5" s="1"/>
  <c r="G13" i="5"/>
  <c r="I11" i="5"/>
  <c r="L11" i="5" s="1"/>
  <c r="H9" i="5"/>
  <c r="I8" i="5"/>
  <c r="H12" i="5"/>
  <c r="K12" i="5" s="1"/>
  <c r="G11" i="5"/>
  <c r="G10" i="5"/>
  <c r="G9" i="5"/>
  <c r="G8" i="5"/>
  <c r="G7" i="5"/>
  <c r="R10" i="3"/>
  <c r="B20" i="1" s="1"/>
  <c r="O7" i="3"/>
  <c r="O6" i="3"/>
  <c r="P6" i="3"/>
  <c r="O9" i="3"/>
  <c r="P9" i="3" s="1"/>
  <c r="O5" i="3"/>
  <c r="P5" i="3" s="1"/>
  <c r="O8" i="3"/>
  <c r="P8" i="3" s="1"/>
  <c r="G59" i="1"/>
  <c r="B67" i="1"/>
  <c r="B78" i="1"/>
  <c r="B9" i="1"/>
  <c r="B56" i="1"/>
  <c r="C29" i="1"/>
  <c r="B58" i="1"/>
  <c r="B57" i="1"/>
  <c r="B55" i="1"/>
  <c r="C34" i="1" l="1"/>
  <c r="C40" i="1"/>
  <c r="B45" i="1"/>
  <c r="B49" i="1" s="1"/>
  <c r="L15" i="5"/>
  <c r="E24" i="5" s="1"/>
  <c r="E26" i="5" s="1"/>
  <c r="L16" i="5"/>
  <c r="K15" i="5"/>
  <c r="D24" i="5" s="1"/>
  <c r="D26" i="5" s="1"/>
  <c r="K16" i="5"/>
  <c r="P7" i="3"/>
  <c r="P10" i="3"/>
  <c r="C41" i="1" s="1"/>
  <c r="C42" i="1" l="1"/>
  <c r="C44" i="1" s="1"/>
  <c r="B66" i="1"/>
  <c r="C43" i="1"/>
  <c r="C45" i="1" l="1"/>
  <c r="B50" i="1" l="1"/>
  <c r="D50" i="1" s="1"/>
  <c r="E50" i="1" s="1"/>
  <c r="C49" i="1"/>
  <c r="D49" i="1" s="1"/>
  <c r="D51" i="1" l="1"/>
  <c r="E49" i="1"/>
  <c r="E51" i="1" l="1"/>
  <c r="C58" i="1"/>
  <c r="D58" i="1" s="1"/>
  <c r="C55" i="1"/>
  <c r="D55" i="1" s="1"/>
  <c r="C56" i="1"/>
  <c r="C57" i="1"/>
  <c r="D57" i="1" s="1"/>
  <c r="F57" i="1" s="1"/>
  <c r="D56" i="1" l="1"/>
  <c r="C59" i="1"/>
  <c r="D59" i="1" s="1"/>
  <c r="F55" i="1"/>
  <c r="F56" i="1" l="1"/>
  <c r="B64" i="1"/>
  <c r="B65" i="1" s="1"/>
  <c r="B84" i="1"/>
  <c r="B69" i="1" l="1"/>
  <c r="B70" i="1" s="1"/>
  <c r="B71" i="1" s="1"/>
  <c r="B72" i="1" s="1"/>
  <c r="B87" i="1" l="1"/>
  <c r="E58" i="1"/>
  <c r="F58" i="1" s="1"/>
  <c r="B83" i="1"/>
</calcChain>
</file>

<file path=xl/sharedStrings.xml><?xml version="1.0" encoding="utf-8"?>
<sst xmlns="http://schemas.openxmlformats.org/spreadsheetml/2006/main" count="252" uniqueCount="209">
  <si>
    <t>ASC 820 Level 3 Equity Allocation  |  Valuation Date: March 31, 2024  |  Pre-IPO</t>
  </si>
  <si>
    <t>SECTION 1: KEY VALUATION INPUTS</t>
  </si>
  <si>
    <t>Valuation Date</t>
  </si>
  <si>
    <t>Net Debt at March 31, 2024 ($M)</t>
  </si>
  <si>
    <t>Enterprise Value ($M)</t>
  </si>
  <si>
    <t>Pre-IPO Shares Outstanding</t>
  </si>
  <si>
    <t>Options Outstanding (2019 Waystar Plan)</t>
  </si>
  <si>
    <t>Weighted Average Option Strike ($)</t>
  </si>
  <si>
    <t>Source: S-1/A Dilution table. Wtd-avg exercise price $16.30/share.</t>
  </si>
  <si>
    <t>SECTION 2: BLACK-SCHOLES INPUTS (OPM Call Spread Framework)</t>
  </si>
  <si>
    <t>Equity Value S ($M)</t>
  </si>
  <si>
    <t>Risk-Free Rate (rf)</t>
  </si>
  <si>
    <t>Valuation date March 31, 2024 to IPO June 7, 2024 = 68 days = 0.19 years. Short horizon reflects near-IPO status.</t>
  </si>
  <si>
    <t>Derby TopCo Partnership LP held 100% of Waystar equity pre-IPO. LP interests converted to common at IPO via Equity Distribution, allocated per liquidation waterfall.</t>
  </si>
  <si>
    <t>Holder</t>
  </si>
  <si>
    <t>Pre-IPO Shares</t>
  </si>
  <si>
    <t>% Pre-IPO Equity</t>
  </si>
  <si>
    <t>Post-IPO %</t>
  </si>
  <si>
    <t>Shares (Post-IPO)</t>
  </si>
  <si>
    <t>Invested Capital ($M)</t>
  </si>
  <si>
    <t>Source</t>
  </si>
  <si>
    <t>EQT (Derby LuxCo S.à r.l.)</t>
  </si>
  <si>
    <t>Post-IPO 29.2% x 166,659,634. EQT lead; 2019 LBO entry $2.7B total equity. Schedule 13G.</t>
  </si>
  <si>
    <t>CPPIB</t>
  </si>
  <si>
    <t>Post-IPO 22.3% x 166,659,634. Co-investor with EQT at 2019 LBO. S-1/A Principal Stockholders.</t>
  </si>
  <si>
    <t>Bain Capital (BCPE Derby)</t>
  </si>
  <si>
    <t>Post-IPO 16.8% x 166,659,634. Rolled equity from pre-2019 Navicure/ZirMed ownership. S-1/A.</t>
  </si>
  <si>
    <t>Management &amp; Other LP holders</t>
  </si>
  <si>
    <t>Residual pre-IPO LP pool ~7.1M shares. Management equity from 2019 plan + rollovers.</t>
  </si>
  <si>
    <t>Total LP (pre-IPO)</t>
  </si>
  <si>
    <t>Breakpoint Description</t>
  </si>
  <si>
    <t>Breakpoint ($M)</t>
  </si>
  <si>
    <t>Incremental Value ($M)</t>
  </si>
  <si>
    <t>Allocated To</t>
  </si>
  <si>
    <t>Rationale</t>
  </si>
  <si>
    <t>BP1: Minimum (floor)</t>
  </si>
  <si>
    <t>All classes</t>
  </si>
  <si>
    <t>OPM convention per AICPA Practice Aid.</t>
  </si>
  <si>
    <t>BP2: Preferred / LP Pref Return</t>
  </si>
  <si>
    <t>All LP classes pro-rata</t>
  </si>
  <si>
    <t>CPP Investments newsroom; EQT AB press release Oct 2019. $2.7B deal equity split ~$2,692M LP invested capital.</t>
  </si>
  <si>
    <t>BP3: Common Residual</t>
  </si>
  <si>
    <t>∞</t>
  </si>
  <si>
    <t>Residual</t>
  </si>
  <si>
    <t>Above BP2, incremental equity shared pro-rata by all LP holders. No separate preferred return structure disclosed in S-1/A; single-class OPM appropriate.</t>
  </si>
  <si>
    <t>S-1/A Basis of Presentation confirms single equity class (common stock) post-IPO.</t>
  </si>
  <si>
    <t>SECTION 4: BLACK-SCHOLES CALL VALUES PER BREAKPOINT</t>
  </si>
  <si>
    <t>OPM allocates equity value using call spread: C(Ki) - C(Ki+1), where C(K) = BSM call with equity value S, strike K, volatility σ, time T, risk-free rate rf.</t>
  </si>
  <si>
    <t>Parameter</t>
  </si>
  <si>
    <t>BP1: K = $0</t>
  </si>
  <si>
    <t>BP2: K = $2,692M</t>
  </si>
  <si>
    <t>Strike K ($M)</t>
  </si>
  <si>
    <t>0</t>
  </si>
  <si>
    <t>d1</t>
  </si>
  <si>
    <t>N/A (K=0; C(0)=S)</t>
  </si>
  <si>
    <t>d2</t>
  </si>
  <si>
    <t>N(d1)</t>
  </si>
  <si>
    <t>N(d2)</t>
  </si>
  <si>
    <t>Call Value C(K) ($M)</t>
  </si>
  <si>
    <t>SECTION 5: OPM EQUITY ALLOCATION (PRE-DLOM)</t>
  </si>
  <si>
    <t>Tranche</t>
  </si>
  <si>
    <t>% of Total Equity</t>
  </si>
  <si>
    <t>Allocated Holder</t>
  </si>
  <si>
    <t>All LP holders pro-rata</t>
  </si>
  <si>
    <t>Tranche 2: Above BP2 → ∞</t>
  </si>
  <si>
    <t>Total Equity Value ($M)</t>
  </si>
  <si>
    <t>SECTION 6: EQUITY ALLOCATION BY HOLDER (PRE-DLOM)</t>
  </si>
  <si>
    <t>% LP Ownership</t>
  </si>
  <si>
    <t>Allocated Value ($M)</t>
  </si>
  <si>
    <t>Pre-DLOM $/share</t>
  </si>
  <si>
    <t>DLOM</t>
  </si>
  <si>
    <t>Post-DLOM $/share</t>
  </si>
  <si>
    <t>DLOM Note: Institutional LPs (EQT, CPPIB, Bain) receive 0% DLOM — they hold registration rights per Stockholders Agreement (Jun 2024) and can access liquidity via S-1 registration. Management/other receives Chaffe put DLOM.</t>
  </si>
  <si>
    <t>Total / Implied Equity per Share</t>
  </si>
  <si>
    <t>DLOM = Put option value / Equity value per share. Put = BSM put on equity using same σ and T as main OPM. Applied only to management/minority (not institutional LP) per standard practice.</t>
  </si>
  <si>
    <t>DLOM Inputs</t>
  </si>
  <si>
    <t>Equity Value per Share S ($)</t>
  </si>
  <si>
    <t>Strike K = S (at-the-money put)</t>
  </si>
  <si>
    <t>Volatility σ</t>
  </si>
  <si>
    <t>Time T (years)</t>
  </si>
  <si>
    <t>Risk-Free Rate rf</t>
  </si>
  <si>
    <t>BSM Put d1</t>
  </si>
  <si>
    <t>BSM Put d2</t>
  </si>
  <si>
    <t>BSM Put Value ($)</t>
  </si>
  <si>
    <t>DLOM = Put / S</t>
  </si>
  <si>
    <t>Applied only to management/other holders. Institutional LPs: 0% DLOM per registration rights (S-1/A, Stockholders Agreement). Near-IPO status (68 days) further reduces DLOM materiality.</t>
  </si>
  <si>
    <t>Metric</t>
  </si>
  <si>
    <t>Value</t>
  </si>
  <si>
    <t>Notes</t>
  </si>
  <si>
    <t>Net Debt at Valuation Date</t>
  </si>
  <si>
    <t>Options Outstanding</t>
  </si>
  <si>
    <t>S-1/A: 13,670,211 @ $16.30 wtd-avg strike</t>
  </si>
  <si>
    <t>Fully Diluted Shares (treasury method)</t>
  </si>
  <si>
    <t>DLOM Applied</t>
  </si>
  <si>
    <t>Chaffe ATM put model</t>
  </si>
  <si>
    <t>Pre-DLOM Equity Value / Share ($)</t>
  </si>
  <si>
    <t>Total allocated equity / pre-IPO shares</t>
  </si>
  <si>
    <t>Post-DLOM Equity Value / Share ($)</t>
  </si>
  <si>
    <t>Pre-DLOM x (1 - DLOM)</t>
  </si>
  <si>
    <t>June 7, 2024 IPO pricing</t>
  </si>
  <si>
    <t>Classification:</t>
  </si>
  <si>
    <t>Valuation Technique:</t>
  </si>
  <si>
    <t>Equity Value Input:</t>
  </si>
  <si>
    <t>Key Unobservable Inputs:</t>
  </si>
  <si>
    <t>Breakpoint Structure:</t>
  </si>
  <si>
    <t>Validation:</t>
  </si>
  <si>
    <t>Significant Assumptions:</t>
  </si>
  <si>
    <t>Waystar Holding Corp. :  Option Pricing Model (OPM) Equity Waterfall</t>
  </si>
  <si>
    <t>https://www.sec.gov/Archives/edgar/data/1990354/000110465924065282/tm2333808-9_s1a.htm</t>
  </si>
  <si>
    <t>IPO Price; Validation Anchor ($)</t>
  </si>
  <si>
    <t xml:space="preserve">Source: Waystar IPO June 7, 2024 @ $21.50/share. Goldman Sachs joint lead book-runner. Pitchbook </t>
  </si>
  <si>
    <t>IPO Date</t>
  </si>
  <si>
    <t>SECTION 3: DERBY TOPCO LP CAP TABLE &amp; BREAKPOINT ANALYSIS</t>
  </si>
  <si>
    <t>Date</t>
  </si>
  <si>
    <t>NAS:RCM</t>
  </si>
  <si>
    <t>NYSE:VEEV</t>
  </si>
  <si>
    <t>NYSE:DOCS</t>
  </si>
  <si>
    <t>NAS:DH</t>
  </si>
  <si>
    <t>NAS:HQY</t>
  </si>
  <si>
    <t>Standard Dev</t>
  </si>
  <si>
    <t>Volatility</t>
  </si>
  <si>
    <t>Total Days</t>
  </si>
  <si>
    <t>Working Days</t>
  </si>
  <si>
    <t>Company</t>
  </si>
  <si>
    <t>Adj Close</t>
  </si>
  <si>
    <t>Delta</t>
  </si>
  <si>
    <t>Average Volatility</t>
  </si>
  <si>
    <t>FRED Data as on March 31. 3M US Bond Yield</t>
  </si>
  <si>
    <t>Time to Liquidity  : T (years)</t>
  </si>
  <si>
    <t>Volatility : σ (peer-derived)</t>
  </si>
  <si>
    <t>OPM starts at $0 equity floor call spread anchors here.</t>
  </si>
  <si>
    <t xml:space="preserve">$2,692M = LBO total invested equity (EQT+CPPIB+Bain+Mgmt). Below this, all value accrues to senior LP interests. </t>
  </si>
  <si>
    <t>Total Equity Value : Pre-money ($M)</t>
  </si>
  <si>
    <t>SECTION 8: OUTPUT SUMMARY : COMMON EQUITY VALUE PER SHARE</t>
  </si>
  <si>
    <t>SECTION 7: DLOM : CHAFFE PUT MODEL (LACK OF MARKETABILITY DISCOUNT)</t>
  </si>
  <si>
    <t>BREAKPOINT ANALYSIS for Derby TopCo LP Waterfall</t>
  </si>
  <si>
    <t>Ticker</t>
  </si>
  <si>
    <t>Business Description</t>
  </si>
  <si>
    <t>R1 RCM</t>
  </si>
  <si>
    <t>End-to-end RCM automation platform for hospitals, health systems, and physician groups. Automates pre-registration, coding, claims submission, denial management, and underpayment recovery. Closest structural peer to Waystar. Taken private November 2024 -- still listed at March 28, 2024 valuation date.</t>
  </si>
  <si>
    <t>NYSE:PHR</t>
  </si>
  <si>
    <t>Phreesia</t>
  </si>
  <si>
    <t>Patient intake and access management platform for ambulatory practices. Handles eligibility verification, prior authorization, digital check-in, and patient payment collection at point of care. Directly overlaps with Waystar front-end clearance and patient financial engagement modules.</t>
  </si>
  <si>
    <t>NYSE:EVH</t>
  </si>
  <si>
    <t>Evolent Health</t>
  </si>
  <si>
    <t>Specialty care management and value-based care enablement. Manages medical cost for health plans in oncology, cardiology, and musculoskeletal through a technology platform and clinical services. More services-heavy and payer-facing than Waystar -- explains a margin and multiple discount.</t>
  </si>
  <si>
    <t>NAS:HCAT</t>
  </si>
  <si>
    <t>Health Catalyst</t>
  </si>
  <si>
    <t>Healthcare data and analytics platform serving health systems and academic medical centers. Provides a cloud-based data operating system with analytics applications for operational, clinical, and financial use cases. Same CFO buyer as Waystar. Core product is analytics, not payments automation.</t>
  </si>
  <si>
    <t>Veeva Systems</t>
  </si>
  <si>
    <t>Life sciences vertical SaaS covering commercial, regulatory, clinical, and quality workflows for pharma and biotech. Not RCM but the canonical benchmark for mission-critical vertical SaaS with high NRR and strong pricing power. Anchors the premium end of the healthcare SaaS multiple range. Waystar warrants a discount given lower margins and smaller scale.</t>
  </si>
  <si>
    <t>Doximity</t>
  </si>
  <si>
    <t>Digital platform for US physicians providing networking, telehealth, and workflow tools. Monetizes through SaaS subscriptions paid by pharma companies and health systems. High gross margins, strong NRR, capital-light model. Not RCM -- anchors the high-quality healthcare SaaS premium alongside Veeva.</t>
  </si>
  <si>
    <t>Definitive Healthcare</t>
  </si>
  <si>
    <t>Healthcare commercial intelligence platform providing data and analytics on providers and payers to life sciences companies and health IT vendors. SaaS subscription model. Overlaps on analytics dimension but serves a different buyer. Lower growth trajectory by March 2024 -- explains multiple discount.</t>
  </si>
  <si>
    <t>NAS:TBRG</t>
  </si>
  <si>
    <t>TruBridge</t>
  </si>
  <si>
    <t>RCM software and services for rural and community hospitals. Covers billing, coding, eligibility, and patient engagement bundled with outsourced services for smaller provider organizations. More services-heavy than Waystar with lower-acuity market focus -- drives a lower multiple. Closest lower-end RCM peer.</t>
  </si>
  <si>
    <t>HealthEquity</t>
  </si>
  <si>
    <t>Health savings account administration and healthcare financial technology platform. Manages HSAs, FSAs, and HRAs for employers and health plans. Processes healthcare payments at the employer level rather than provider billing level. Adjacent to Waystar patient payment workflows -- anchors healthcare fintech end of the range.</t>
  </si>
  <si>
    <t>WAYSTAR HOLDING CORP. (NASDAQ: WAY)  |  VALUATION DATE: March 31, 2024</t>
  </si>
  <si>
    <t xml:space="preserve">A. Business Overview </t>
  </si>
  <si>
    <t xml:space="preserve">Waystar provides cloud-native software that automates healthcare revenue cycle management for US provider organizations. Its platform covers the full billing workflow: financial clearance, prior authorization, claims submission and monitoring, denial prevention and recovery, payer payment management, and patient collections. 
Core products include financial clearance, patient financial care and payment processing, claims and payer payment management, denials prevention and recovery, revenue capture, and analytics and reporting. The platform distributes through direct sales and integrations with leading EHR and practice management systems, serving hospitals, health systems, and ambulatory practices. 
Waystar earns revenue primarily on a subscription and per-transaction basis, with clients paying to process the claims volume flowing through their systems. </t>
  </si>
  <si>
    <t>Option pricing as a proxy for discount for lack of marketability in private company valuations.</t>
  </si>
  <si>
    <t>IPO Price (corroboration) ($)</t>
  </si>
  <si>
    <t>No future acquisitions modeled. Management options (13.7M @ $16.30) treated as in-the-money at March 31, 2024 on treasury stock basis  but their dilutive impact is modest given proximity of equity value to strike.</t>
  </si>
  <si>
    <t>Level 3  Unobservable inputs. Waystar equity held through Derby TopCo Partnership LP at valuation date. No public market for the LP units at March 31, 2024. Observable IPO price not yet established.</t>
  </si>
  <si>
    <t xml:space="preserve">Option Pricing Model (OPM)  Black-Scholes call spread framework. Allocates total equity value across LP waterfall breakpoints using BSM call option values. </t>
  </si>
  <si>
    <t>Switch</t>
  </si>
  <si>
    <t>NAS:WAY</t>
  </si>
  <si>
    <t>Waystar</t>
  </si>
  <si>
    <t>USD Mn</t>
  </si>
  <si>
    <t>EV</t>
  </si>
  <si>
    <t>Revenue</t>
  </si>
  <si>
    <t>EBITDA</t>
  </si>
  <si>
    <t>EBITDA Margin(%)</t>
  </si>
  <si>
    <t>EV/Revenue (X)</t>
  </si>
  <si>
    <t xml:space="preserve">EV/EBITDA (X) </t>
  </si>
  <si>
    <t>Selection</t>
  </si>
  <si>
    <t>Neg EBITDA</t>
  </si>
  <si>
    <t>Outlier</t>
  </si>
  <si>
    <t>Mean</t>
  </si>
  <si>
    <t>Median</t>
  </si>
  <si>
    <t>Source : Pitchbook</t>
  </si>
  <si>
    <t>Particulars</t>
  </si>
  <si>
    <t>EV/Revenue</t>
  </si>
  <si>
    <t>EV/EBITDA</t>
  </si>
  <si>
    <t>Revenue (TTM)</t>
  </si>
  <si>
    <t>Implied EV (Median Multiple)</t>
  </si>
  <si>
    <t>Add: Cash and Cash Equivalents</t>
  </si>
  <si>
    <t>Less : Debt and Debt Equivalents</t>
  </si>
  <si>
    <t>Equity Value</t>
  </si>
  <si>
    <t xml:space="preserve">Shares Outstanding </t>
  </si>
  <si>
    <t>Per Share Value</t>
  </si>
  <si>
    <t>SECTION 9: ASC 820 CLASSIFICATION MEMO</t>
  </si>
  <si>
    <t xml:space="preserve">Equity Value Per Pre-IPO Share </t>
  </si>
  <si>
    <t xml:space="preserve">Multiples Approach </t>
  </si>
  <si>
    <t xml:space="preserve">Note : </t>
  </si>
  <si>
    <t xml:space="preserve">Tranche 1: $0 → BP2 </t>
  </si>
  <si>
    <t>Market approach using EV/Revenue multiple</t>
  </si>
  <si>
    <t>Single-class LP waterfall. Below $2,818M total equity (LBO invested capital basis, Oct 2019), all value attributed to LP invested capital. Above $2,692M, residual allocated pro-rata. At March 31, 2024 equity value of $2,620M, entire pool sits below BP2 common equity is marginally in the money.</t>
  </si>
  <si>
    <t>Adopted EV/Revenue approach because most comps have a relatively low EBITDA margin, inflating the EV/EBITDA multiple, and Waystar has a its EBITDA margin in the upper quartile of the set, hence the EV derived using EV/EBITDA margin is inflated</t>
  </si>
  <si>
    <t xml:space="preserve">Total Equity Value </t>
  </si>
  <si>
    <t>Treasury stock method: added in-the-money options</t>
  </si>
  <si>
    <t>Volatility 44%. Time to liquidity 0.19 years (68 days to IPO). DLOM: 0% for institutional LPs (registration rights); 7% Chaffe ATM put for management/other.</t>
  </si>
  <si>
    <t>IPO price $21.50/share (June 7, 2024) vs OPM implied ~$23.3/share pre-DLOM (institutional LP) and ~$21.66/share for management (post-Chaffe DLOM). Institutional LP holders receive full ~$21.66  gap vs $21.50 IPO reflects 68-day price discovery from S-1 to pricing.</t>
  </si>
  <si>
    <t xml:space="preserve">Source: Waystar S-1/A Cap Table. LT Debt ~$2,500M (First Lien + Second Lien) less cash ~$57M. </t>
  </si>
  <si>
    <t>C(K=$0) ($M)</t>
  </si>
  <si>
    <t>C(K=$2,962M)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</si>
</sst>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
    <numFmt numFmtId="165" formatCode="\$#,##0.00"/>
    <numFmt numFmtId="166" formatCode="0.0%"/>
    <numFmt numFmtId="167" formatCode="\$#,##0"/>
    <numFmt numFmtId="168" formatCode="\$#,##0.0"/>
    <numFmt numFmtId="169" formatCode="0.0000"/>
    <numFmt numFmtId="170" formatCode="_(* #,##0.0_);_(* \(#,##0.0\);_(* &quot;-&quot;??_);_(@_)"/>
    <numFmt numFmtId="171" formatCode="#,##0.00\x_);\(#,##0.00\x\)"/>
  </numFmts>
  <fonts count="27" x14ac:knownFonts="1">
    <font>
      <sz val="11"/>
      <color theme="1"/>
      <name val="Calibri"/>
      <family val="2"/>
      <charset val="1"/>
    </font>
    <font>
      <sz val="11"/>
      <color theme="1"/>
      <name val="Calibri"/>
      <family val="2"/>
      <scheme val="minor"/>
    </font>
    <font>
      <sz val="10"/>
      <name val="Arial"/>
      <family val="2"/>
    </font>
    <font>
      <sz val="10"/>
      <color rgb="FF000000"/>
      <name val="Trebuchet MS"/>
      <family val="2"/>
    </font>
    <font>
      <b/>
      <sz val="10"/>
      <color rgb="FF000000"/>
      <name val="Trebuchet MS"/>
      <family val="2"/>
    </font>
    <font>
      <sz val="10"/>
      <color rgb="FF0000FF"/>
      <name val="Trebuchet MS"/>
      <family val="2"/>
    </font>
    <font>
      <b/>
      <sz val="10"/>
      <name val="Trebuchet MS"/>
      <family val="2"/>
    </font>
    <font>
      <b/>
      <sz val="10"/>
      <color rgb="FFFFFFFF"/>
      <name val="Trebuchet MS"/>
      <family val="2"/>
    </font>
    <font>
      <u/>
      <sz val="11"/>
      <color theme="10"/>
      <name val="Calibri"/>
      <family val="2"/>
      <charset val="1"/>
    </font>
    <font>
      <sz val="10"/>
      <color theme="1"/>
      <name val="Calibri"/>
      <family val="2"/>
      <charset val="1"/>
    </font>
    <font>
      <i/>
      <sz val="10"/>
      <color rgb="FF595959"/>
      <name val="Trebuchet MS"/>
      <family val="2"/>
    </font>
    <font>
      <u/>
      <sz val="10"/>
      <color theme="10"/>
      <name val="Calibri"/>
      <family val="2"/>
      <charset val="1"/>
    </font>
    <font>
      <sz val="11"/>
      <color theme="1"/>
      <name val="Calibri"/>
      <family val="2"/>
      <charset val="1"/>
    </font>
    <font>
      <sz val="10"/>
      <color rgb="FF232A31"/>
      <name val="Trebuchet MS"/>
      <family val="2"/>
    </font>
    <font>
      <sz val="10"/>
      <color theme="1"/>
      <name val="Trebuchet MS"/>
      <family val="2"/>
    </font>
    <font>
      <b/>
      <sz val="10"/>
      <color rgb="FF232A31"/>
      <name val="Trebuchet MS"/>
      <family val="2"/>
    </font>
    <font>
      <b/>
      <sz val="10"/>
      <color theme="1"/>
      <name val="Trebuchet MS"/>
      <family val="2"/>
    </font>
    <font>
      <sz val="10"/>
      <name val="Trebuchet MS"/>
      <family val="2"/>
    </font>
    <font>
      <sz val="9"/>
      <color theme="1"/>
      <name val="Trebuchet MS"/>
      <family val="2"/>
    </font>
    <font>
      <b/>
      <sz val="11"/>
      <color theme="0"/>
      <name val="Calibri"/>
      <family val="2"/>
      <scheme val="minor"/>
    </font>
    <font>
      <b/>
      <sz val="11"/>
      <color theme="1"/>
      <name val="Calibri"/>
      <family val="2"/>
      <scheme val="minor"/>
    </font>
    <font>
      <b/>
      <sz val="10"/>
      <color theme="0"/>
      <name val="Trebuchet MS"/>
      <family val="2"/>
    </font>
    <font>
      <i/>
      <sz val="10"/>
      <color theme="1"/>
      <name val="Trebuchet MS"/>
      <family val="2"/>
    </font>
    <font>
      <b/>
      <i/>
      <sz val="10"/>
      <color theme="1"/>
      <name val="Trebuchet MS"/>
      <family val="2"/>
    </font>
    <font>
      <i/>
      <sz val="10"/>
      <color rgb="FFFF0000"/>
      <name val="Trebuchet MS"/>
      <family val="2"/>
    </font>
    <font>
      <sz val="10"/>
      <color rgb="FF14181F"/>
      <name val="Calibri"/>
      <family val="2"/>
      <scheme val="minor"/>
    </font>
    <font>
      <i/>
      <sz val="10"/>
      <name val="Trebuchet MS"/>
      <family val="2"/>
    </font>
  </fonts>
  <fills count="11">
    <fill>
      <patternFill patternType="none"/>
    </fill>
    <fill>
      <patternFill patternType="gray125"/>
    </fill>
    <fill>
      <patternFill patternType="solid">
        <fgColor rgb="FF1F4E79"/>
        <bgColor rgb="FF003366"/>
      </patternFill>
    </fill>
    <fill>
      <patternFill patternType="solid">
        <fgColor rgb="FFD9E1F2"/>
        <bgColor rgb="FFCCFFFF"/>
      </patternFill>
    </fill>
    <fill>
      <patternFill patternType="solid">
        <fgColor rgb="FFFFFCC0"/>
        <bgColor rgb="FFFFFF99"/>
      </patternFill>
    </fill>
    <fill>
      <patternFill patternType="solid">
        <fgColor theme="3" tint="0.79998168889431442"/>
        <bgColor indexed="64"/>
      </patternFill>
    </fill>
    <fill>
      <patternFill patternType="solid">
        <fgColor theme="4" tint="0.39997558519241921"/>
        <bgColor indexed="64"/>
      </patternFill>
    </fill>
    <fill>
      <patternFill patternType="solid">
        <fgColor theme="3" tint="0.749992370372631"/>
        <bgColor indexed="64"/>
      </patternFill>
    </fill>
    <fill>
      <patternFill patternType="solid">
        <fgColor theme="3"/>
        <bgColor indexed="64"/>
      </patternFill>
    </fill>
    <fill>
      <patternFill patternType="solid">
        <fgColor theme="3" tint="0.89999084444715716"/>
        <bgColor indexed="64"/>
      </patternFill>
    </fill>
    <fill>
      <patternFill patternType="solid">
        <fgColor theme="5" tint="0.79998168889431442"/>
        <bgColor indexed="64"/>
      </patternFill>
    </fill>
  </fills>
  <borders count="26">
    <border>
      <left/>
      <right/>
      <top/>
      <bottom/>
      <diagonal/>
    </border>
    <border>
      <left/>
      <right/>
      <top style="thin">
        <color auto="1"/>
      </top>
      <bottom style="thick">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theme="2" tint="-0.24994659260841701"/>
      </bottom>
      <diagonal/>
    </border>
    <border>
      <left/>
      <right/>
      <top/>
      <bottom style="thin">
        <color theme="2" tint="-0.24994659260841701"/>
      </bottom>
      <diagonal/>
    </border>
    <border>
      <left/>
      <right style="thin">
        <color indexed="64"/>
      </right>
      <top/>
      <bottom style="thin">
        <color theme="2" tint="-0.24994659260841701"/>
      </bottom>
      <diagonal/>
    </border>
    <border>
      <left style="thin">
        <color indexed="64"/>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indexed="64"/>
      </right>
      <top style="thin">
        <color theme="2" tint="-0.24994659260841701"/>
      </top>
      <bottom style="thin">
        <color theme="2" tint="-0.24994659260841701"/>
      </bottom>
      <diagonal/>
    </border>
    <border>
      <left style="thin">
        <color indexed="64"/>
      </left>
      <right/>
      <top style="thin">
        <color theme="2" tint="-0.24994659260841701"/>
      </top>
      <bottom style="thin">
        <color indexed="64"/>
      </bottom>
      <diagonal/>
    </border>
    <border>
      <left/>
      <right/>
      <top style="thin">
        <color theme="2" tint="-0.24994659260841701"/>
      </top>
      <bottom style="thin">
        <color indexed="64"/>
      </bottom>
      <diagonal/>
    </border>
    <border>
      <left/>
      <right style="thin">
        <color indexed="64"/>
      </right>
      <top style="thin">
        <color theme="2" tint="-0.24994659260841701"/>
      </top>
      <bottom style="thin">
        <color indexed="64"/>
      </bottom>
      <diagonal/>
    </border>
    <border>
      <left/>
      <right/>
      <top style="thin">
        <color theme="0" tint="-0.14996795556505021"/>
      </top>
      <bottom style="thin">
        <color theme="0" tint="-0.14996795556505021"/>
      </bottom>
      <diagonal/>
    </border>
    <border>
      <left/>
      <right/>
      <top style="thin">
        <color theme="2" tint="-0.24994659260841701"/>
      </top>
      <bottom style="medium">
        <color indexed="64"/>
      </bottom>
      <diagonal/>
    </border>
    <border>
      <left/>
      <right/>
      <top style="medium">
        <color auto="1"/>
      </top>
      <bottom style="thick">
        <color auto="1"/>
      </bottom>
      <diagonal/>
    </border>
    <border>
      <left/>
      <right/>
      <top style="medium">
        <color indexed="64"/>
      </top>
      <bottom/>
      <diagonal/>
    </border>
    <border>
      <left/>
      <right/>
      <top/>
      <bottom style="thin">
        <color theme="0" tint="-0.14996795556505021"/>
      </bottom>
      <diagonal/>
    </border>
  </borders>
  <cellStyleXfs count="8">
    <xf numFmtId="0" fontId="0" fillId="0" borderId="0"/>
    <xf numFmtId="43" fontId="2" fillId="0" borderId="0" applyBorder="0" applyAlignment="0" applyProtection="0"/>
    <xf numFmtId="0" fontId="8" fillId="0" borderId="0" applyNumberFormat="0" applyFill="0" applyBorder="0" applyAlignment="0" applyProtection="0"/>
    <xf numFmtId="9" fontId="12" fillId="0" borderId="0" applyFont="0" applyFill="0" applyBorder="0" applyAlignment="0" applyProtection="0"/>
    <xf numFmtId="9" fontId="18"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cellStyleXfs>
  <cellXfs count="139">
    <xf numFmtId="0" fontId="0" fillId="0" borderId="0" xfId="0"/>
    <xf numFmtId="0" fontId="4" fillId="3" borderId="0" xfId="0" applyFont="1" applyFill="1" applyAlignment="1">
      <alignment horizontal="left" vertical="center"/>
    </xf>
    <xf numFmtId="0" fontId="4" fillId="0" borderId="0" xfId="0" applyFont="1" applyAlignment="1">
      <alignment horizontal="left" vertical="center"/>
    </xf>
    <xf numFmtId="0" fontId="5" fillId="0" borderId="0" xfId="0" applyFont="1" applyAlignment="1">
      <alignment horizontal="right"/>
    </xf>
    <xf numFmtId="164" fontId="5" fillId="0" borderId="0" xfId="0" applyNumberFormat="1" applyFont="1" applyAlignment="1">
      <alignment horizontal="right"/>
    </xf>
    <xf numFmtId="0" fontId="3" fillId="0" borderId="0" xfId="0" applyFont="1" applyAlignment="1">
      <alignment horizontal="left" vertical="center"/>
    </xf>
    <xf numFmtId="164" fontId="3" fillId="0" borderId="0" xfId="0" applyNumberFormat="1" applyFont="1" applyAlignment="1">
      <alignment horizontal="right"/>
    </xf>
    <xf numFmtId="3" fontId="5" fillId="0" borderId="0" xfId="0" applyNumberFormat="1" applyFont="1" applyAlignment="1">
      <alignment horizontal="right"/>
    </xf>
    <xf numFmtId="165" fontId="5" fillId="0" borderId="0" xfId="0" applyNumberFormat="1" applyFont="1" applyAlignment="1">
      <alignment horizontal="right"/>
    </xf>
    <xf numFmtId="165" fontId="3" fillId="0" borderId="0" xfId="0" applyNumberFormat="1" applyFont="1" applyAlignment="1">
      <alignment horizontal="right"/>
    </xf>
    <xf numFmtId="10" fontId="5" fillId="0" borderId="0" xfId="0" applyNumberFormat="1" applyFont="1" applyAlignment="1">
      <alignment horizontal="right"/>
    </xf>
    <xf numFmtId="2" fontId="5" fillId="0" borderId="0" xfId="0" applyNumberFormat="1" applyFont="1" applyAlignment="1">
      <alignment horizontal="right"/>
    </xf>
    <xf numFmtId="166" fontId="5" fillId="0" borderId="0" xfId="0" applyNumberFormat="1" applyFont="1" applyAlignment="1">
      <alignment horizontal="right"/>
    </xf>
    <xf numFmtId="166" fontId="3" fillId="0" borderId="0" xfId="0" applyNumberFormat="1" applyFont="1" applyAlignment="1">
      <alignment horizontal="right"/>
    </xf>
    <xf numFmtId="167" fontId="5" fillId="0" borderId="0" xfId="0" applyNumberFormat="1" applyFont="1" applyAlignment="1">
      <alignment horizontal="right"/>
    </xf>
    <xf numFmtId="0" fontId="6" fillId="0" borderId="0" xfId="0" applyFont="1" applyAlignment="1">
      <alignment horizontal="left" vertical="center"/>
    </xf>
    <xf numFmtId="3" fontId="3" fillId="0" borderId="0" xfId="0" applyNumberFormat="1" applyFont="1" applyAlignment="1">
      <alignment horizontal="right"/>
    </xf>
    <xf numFmtId="167" fontId="3" fillId="0" borderId="0" xfId="0" applyNumberFormat="1" applyFont="1" applyAlignment="1">
      <alignment horizontal="right"/>
    </xf>
    <xf numFmtId="168" fontId="5" fillId="0" borderId="0" xfId="0" applyNumberFormat="1" applyFont="1" applyAlignment="1">
      <alignment horizontal="right"/>
    </xf>
    <xf numFmtId="169" fontId="3" fillId="0" borderId="0" xfId="0" applyNumberFormat="1" applyFont="1" applyAlignment="1">
      <alignment horizontal="right"/>
    </xf>
    <xf numFmtId="169" fontId="5" fillId="0" borderId="0" xfId="0" applyNumberFormat="1" applyFont="1" applyAlignment="1">
      <alignment horizontal="right"/>
    </xf>
    <xf numFmtId="2" fontId="3" fillId="0" borderId="0" xfId="0" applyNumberFormat="1" applyFont="1" applyAlignment="1">
      <alignment horizontal="right"/>
    </xf>
    <xf numFmtId="10" fontId="3" fillId="0" borderId="0" xfId="0" applyNumberFormat="1" applyFont="1" applyAlignment="1">
      <alignment horizontal="right"/>
    </xf>
    <xf numFmtId="164" fontId="4" fillId="0" borderId="0" xfId="0" applyNumberFormat="1" applyFont="1" applyAlignment="1">
      <alignment horizontal="right"/>
    </xf>
    <xf numFmtId="165" fontId="4" fillId="0" borderId="0" xfId="0" applyNumberFormat="1" applyFont="1" applyAlignment="1">
      <alignment horizontal="right"/>
    </xf>
    <xf numFmtId="0" fontId="4" fillId="4" borderId="0" xfId="0" applyFont="1" applyFill="1" applyAlignment="1">
      <alignment horizontal="left" vertical="center"/>
    </xf>
    <xf numFmtId="165" fontId="4" fillId="4" borderId="0" xfId="0" applyNumberFormat="1" applyFont="1" applyFill="1" applyAlignment="1">
      <alignment horizontal="right"/>
    </xf>
    <xf numFmtId="0" fontId="9" fillId="0" borderId="0" xfId="0" applyFont="1"/>
    <xf numFmtId="0" fontId="10" fillId="0" borderId="0" xfId="0" applyFont="1" applyAlignment="1">
      <alignment horizontal="left" wrapText="1"/>
    </xf>
    <xf numFmtId="0" fontId="4" fillId="3" borderId="0" xfId="0" applyFont="1" applyFill="1" applyAlignment="1">
      <alignment horizontal="center" vertical="center"/>
    </xf>
    <xf numFmtId="14" fontId="9" fillId="0" borderId="0" xfId="0" applyNumberFormat="1" applyFont="1"/>
    <xf numFmtId="43" fontId="2" fillId="0" borderId="0" xfId="1"/>
    <xf numFmtId="15" fontId="5" fillId="0" borderId="0" xfId="0" applyNumberFormat="1" applyFont="1" applyAlignment="1">
      <alignment horizontal="right"/>
    </xf>
    <xf numFmtId="0" fontId="10" fillId="0" borderId="0" xfId="0" applyFont="1"/>
    <xf numFmtId="0" fontId="9" fillId="0" borderId="0" xfId="0" applyFont="1" applyAlignment="1">
      <alignment horizontal="left"/>
    </xf>
    <xf numFmtId="0" fontId="14" fillId="0" borderId="0" xfId="0" applyFont="1"/>
    <xf numFmtId="15" fontId="13" fillId="0" borderId="0" xfId="0" applyNumberFormat="1" applyFont="1" applyAlignment="1">
      <alignment horizontal="left" vertical="center"/>
    </xf>
    <xf numFmtId="0" fontId="15" fillId="5" borderId="1" xfId="0" applyFont="1" applyFill="1" applyBorder="1" applyAlignment="1">
      <alignment horizontal="left" vertical="center"/>
    </xf>
    <xf numFmtId="0" fontId="16" fillId="6" borderId="2" xfId="0" applyFont="1" applyFill="1" applyBorder="1"/>
    <xf numFmtId="0" fontId="14" fillId="0" borderId="3" xfId="0" applyFont="1" applyBorder="1"/>
    <xf numFmtId="10" fontId="17" fillId="0" borderId="5" xfId="3" applyNumberFormat="1" applyFont="1" applyBorder="1" applyAlignment="1">
      <alignment horizontal="right"/>
    </xf>
    <xf numFmtId="0" fontId="16" fillId="6" borderId="4" xfId="0" applyFont="1" applyFill="1" applyBorder="1"/>
    <xf numFmtId="0" fontId="14" fillId="0" borderId="5" xfId="0" applyFont="1" applyBorder="1"/>
    <xf numFmtId="0" fontId="14" fillId="0" borderId="0" xfId="0" applyFont="1" applyAlignment="1">
      <alignment horizontal="center"/>
    </xf>
    <xf numFmtId="10" fontId="17" fillId="0" borderId="0" xfId="3" applyNumberFormat="1" applyFont="1" applyBorder="1" applyAlignment="1">
      <alignment horizontal="center"/>
    </xf>
    <xf numFmtId="0" fontId="15" fillId="5" borderId="0" xfId="0" applyFont="1" applyFill="1" applyAlignment="1">
      <alignment horizontal="center" vertical="center"/>
    </xf>
    <xf numFmtId="0" fontId="16" fillId="5" borderId="0" xfId="0" applyFont="1" applyFill="1" applyAlignment="1">
      <alignment horizontal="center"/>
    </xf>
    <xf numFmtId="10" fontId="14" fillId="0" borderId="0" xfId="4" applyNumberFormat="1" applyFont="1"/>
    <xf numFmtId="10" fontId="14" fillId="0" borderId="0" xfId="3" applyNumberFormat="1" applyFont="1" applyFill="1" applyBorder="1" applyAlignment="1">
      <alignment horizontal="center"/>
    </xf>
    <xf numFmtId="0" fontId="14" fillId="0" borderId="6" xfId="0" applyFont="1" applyBorder="1" applyAlignment="1">
      <alignment horizontal="center"/>
    </xf>
    <xf numFmtId="10" fontId="17" fillId="0" borderId="7" xfId="3" applyNumberFormat="1" applyFont="1" applyBorder="1" applyAlignment="1">
      <alignment horizontal="right"/>
    </xf>
    <xf numFmtId="0" fontId="14" fillId="0" borderId="4" xfId="0" applyFont="1" applyBorder="1" applyAlignment="1">
      <alignment horizontal="center"/>
    </xf>
    <xf numFmtId="10" fontId="14" fillId="0" borderId="8" xfId="3" applyNumberFormat="1" applyFont="1" applyFill="1" applyBorder="1" applyAlignment="1">
      <alignment horizontal="center"/>
    </xf>
    <xf numFmtId="0" fontId="16" fillId="6" borderId="9" xfId="0" applyFont="1" applyFill="1" applyBorder="1" applyAlignment="1">
      <alignment horizontal="center"/>
    </xf>
    <xf numFmtId="0" fontId="16" fillId="6" borderId="10" xfId="0" applyFont="1" applyFill="1" applyBorder="1" applyAlignment="1">
      <alignment horizontal="center"/>
    </xf>
    <xf numFmtId="0" fontId="16" fillId="6" borderId="11" xfId="0" applyFont="1" applyFill="1" applyBorder="1" applyAlignment="1">
      <alignment horizontal="center"/>
    </xf>
    <xf numFmtId="10" fontId="14" fillId="0" borderId="11" xfId="0" applyNumberFormat="1" applyFont="1" applyBorder="1" applyAlignment="1">
      <alignment horizontal="center"/>
    </xf>
    <xf numFmtId="166" fontId="17" fillId="0" borderId="0" xfId="0" applyNumberFormat="1" applyFont="1" applyAlignment="1">
      <alignment horizontal="right"/>
    </xf>
    <xf numFmtId="0" fontId="10" fillId="0" borderId="0" xfId="0" applyFont="1" applyAlignment="1">
      <alignment horizontal="left"/>
    </xf>
    <xf numFmtId="0" fontId="11" fillId="0" borderId="0" xfId="2" applyFont="1" applyAlignment="1">
      <alignment horizontal="left"/>
    </xf>
    <xf numFmtId="0" fontId="10" fillId="3" borderId="0" xfId="0" applyFont="1" applyFill="1" applyAlignment="1">
      <alignment horizontal="left"/>
    </xf>
    <xf numFmtId="0" fontId="4" fillId="3" borderId="0" xfId="0" applyFont="1" applyFill="1" applyAlignment="1">
      <alignment horizontal="right" vertical="center"/>
    </xf>
    <xf numFmtId="0" fontId="4" fillId="0" borderId="21" xfId="0" applyFont="1" applyBorder="1" applyAlignment="1">
      <alignment vertical="top"/>
    </xf>
    <xf numFmtId="0" fontId="14" fillId="0" borderId="9" xfId="0" applyFont="1" applyBorder="1" applyAlignment="1">
      <alignment horizontal="center"/>
    </xf>
    <xf numFmtId="0" fontId="21" fillId="8" borderId="0" xfId="5" applyFont="1" applyFill="1"/>
    <xf numFmtId="0" fontId="14" fillId="0" borderId="0" xfId="5" applyFont="1"/>
    <xf numFmtId="0" fontId="22" fillId="0" borderId="0" xfId="5" applyFont="1"/>
    <xf numFmtId="170" fontId="22" fillId="0" borderId="0" xfId="6" applyNumberFormat="1" applyFont="1"/>
    <xf numFmtId="10" fontId="22" fillId="0" borderId="0" xfId="7" applyNumberFormat="1" applyFont="1"/>
    <xf numFmtId="171" fontId="14" fillId="0" borderId="0" xfId="5" applyNumberFormat="1" applyFont="1"/>
    <xf numFmtId="0" fontId="22" fillId="0" borderId="0" xfId="5" applyFont="1" applyAlignment="1">
      <alignment horizontal="right"/>
    </xf>
    <xf numFmtId="0" fontId="23" fillId="7" borderId="0" xfId="5" applyFont="1" applyFill="1"/>
    <xf numFmtId="0" fontId="16" fillId="7" borderId="0" xfId="5" applyFont="1" applyFill="1"/>
    <xf numFmtId="0" fontId="16" fillId="7" borderId="0" xfId="5" applyFont="1" applyFill="1" applyAlignment="1">
      <alignment horizontal="right"/>
    </xf>
    <xf numFmtId="0" fontId="23" fillId="7" borderId="0" xfId="5" applyFont="1" applyFill="1" applyAlignment="1">
      <alignment horizontal="right"/>
    </xf>
    <xf numFmtId="0" fontId="22" fillId="0" borderId="16" xfId="5" applyFont="1" applyBorder="1"/>
    <xf numFmtId="0" fontId="14" fillId="0" borderId="16" xfId="5" applyFont="1" applyBorder="1"/>
    <xf numFmtId="170" fontId="14" fillId="0" borderId="16" xfId="6" applyNumberFormat="1" applyFont="1" applyBorder="1"/>
    <xf numFmtId="10" fontId="14" fillId="0" borderId="16" xfId="7" applyNumberFormat="1" applyFont="1" applyBorder="1"/>
    <xf numFmtId="171" fontId="14" fillId="0" borderId="16" xfId="5" applyNumberFormat="1" applyFont="1" applyBorder="1"/>
    <xf numFmtId="0" fontId="22" fillId="0" borderId="16" xfId="5" applyFont="1" applyBorder="1" applyAlignment="1">
      <alignment horizontal="center"/>
    </xf>
    <xf numFmtId="0" fontId="24" fillId="0" borderId="16" xfId="5" applyFont="1" applyBorder="1" applyAlignment="1">
      <alignment horizontal="center"/>
    </xf>
    <xf numFmtId="0" fontId="22" fillId="0" borderId="22" xfId="5" applyFont="1" applyBorder="1" applyAlignment="1">
      <alignment horizontal="center"/>
    </xf>
    <xf numFmtId="0" fontId="14" fillId="0" borderId="10" xfId="5" applyFont="1" applyBorder="1"/>
    <xf numFmtId="0" fontId="22" fillId="0" borderId="8" xfId="5" applyFont="1" applyBorder="1" applyAlignment="1">
      <alignment horizontal="center"/>
    </xf>
    <xf numFmtId="171" fontId="16" fillId="0" borderId="10" xfId="5" applyNumberFormat="1" applyFont="1" applyBorder="1"/>
    <xf numFmtId="0" fontId="14" fillId="0" borderId="23" xfId="5" applyFont="1" applyBorder="1"/>
    <xf numFmtId="171" fontId="16" fillId="0" borderId="23" xfId="5" applyNumberFormat="1" applyFont="1" applyBorder="1"/>
    <xf numFmtId="170" fontId="14" fillId="0" borderId="0" xfId="6" applyNumberFormat="1" applyFont="1"/>
    <xf numFmtId="0" fontId="14" fillId="0" borderId="1" xfId="5" applyFont="1" applyBorder="1"/>
    <xf numFmtId="170" fontId="14" fillId="0" borderId="1" xfId="5" applyNumberFormat="1" applyFont="1" applyBorder="1"/>
    <xf numFmtId="3" fontId="14" fillId="0" borderId="0" xfId="5" applyNumberFormat="1" applyFont="1"/>
    <xf numFmtId="43" fontId="14" fillId="0" borderId="0" xfId="5" applyNumberFormat="1" applyFont="1"/>
    <xf numFmtId="0" fontId="1" fillId="0" borderId="0" xfId="5"/>
    <xf numFmtId="0" fontId="19" fillId="0" borderId="0" xfId="5" applyFont="1" applyAlignment="1">
      <alignment horizontal="center" wrapText="1"/>
    </xf>
    <xf numFmtId="0" fontId="20" fillId="7" borderId="9" xfId="5" applyFont="1" applyFill="1" applyBorder="1" applyAlignment="1">
      <alignment horizontal="center" vertical="center"/>
    </xf>
    <xf numFmtId="0" fontId="20" fillId="7" borderId="10" xfId="5" applyFont="1" applyFill="1" applyBorder="1" applyAlignment="1">
      <alignment horizontal="center" vertical="center"/>
    </xf>
    <xf numFmtId="0" fontId="20" fillId="7" borderId="11" xfId="5" applyFont="1" applyFill="1" applyBorder="1" applyAlignment="1">
      <alignment vertical="center"/>
    </xf>
    <xf numFmtId="0" fontId="1" fillId="0" borderId="12" xfId="5" applyBorder="1" applyAlignment="1">
      <alignment horizontal="center" vertical="center"/>
    </xf>
    <xf numFmtId="0" fontId="1" fillId="0" borderId="13" xfId="5" applyBorder="1" applyAlignment="1">
      <alignment horizontal="center" vertical="center"/>
    </xf>
    <xf numFmtId="0" fontId="1" fillId="0" borderId="14" xfId="5" applyBorder="1" applyAlignment="1">
      <alignment horizontal="left" vertical="center" wrapText="1"/>
    </xf>
    <xf numFmtId="0" fontId="1" fillId="0" borderId="15" xfId="5" applyBorder="1" applyAlignment="1">
      <alignment horizontal="center" vertical="center"/>
    </xf>
    <xf numFmtId="0" fontId="1" fillId="0" borderId="16" xfId="5" applyBorder="1" applyAlignment="1">
      <alignment horizontal="center" vertical="center"/>
    </xf>
    <xf numFmtId="0" fontId="1" fillId="0" borderId="17" xfId="5" applyBorder="1" applyAlignment="1">
      <alignment horizontal="left" vertical="center" wrapText="1"/>
    </xf>
    <xf numFmtId="0" fontId="1" fillId="0" borderId="18" xfId="5" applyBorder="1" applyAlignment="1">
      <alignment horizontal="center" vertical="center"/>
    </xf>
    <xf numFmtId="0" fontId="1" fillId="0" borderId="19" xfId="5" applyBorder="1" applyAlignment="1">
      <alignment horizontal="center" vertical="center"/>
    </xf>
    <xf numFmtId="0" fontId="1" fillId="0" borderId="20" xfId="5" applyBorder="1" applyAlignment="1">
      <alignment horizontal="left" vertical="center" wrapText="1"/>
    </xf>
    <xf numFmtId="0" fontId="25" fillId="0" borderId="0" xfId="5" applyFont="1" applyAlignment="1">
      <alignment vertical="center"/>
    </xf>
    <xf numFmtId="0" fontId="2" fillId="0" borderId="6" xfId="1" applyNumberFormat="1" applyBorder="1" applyAlignment="1">
      <alignment horizontal="center" vertical="center"/>
    </xf>
    <xf numFmtId="0" fontId="26" fillId="0" borderId="16" xfId="5" applyFont="1" applyBorder="1" applyAlignment="1">
      <alignment horizontal="center"/>
    </xf>
    <xf numFmtId="0" fontId="22" fillId="10" borderId="2" xfId="5" applyFont="1" applyFill="1" applyBorder="1"/>
    <xf numFmtId="0" fontId="14" fillId="10" borderId="4" xfId="5" applyFont="1" applyFill="1" applyBorder="1"/>
    <xf numFmtId="168" fontId="17" fillId="0" borderId="0" xfId="0" applyNumberFormat="1" applyFont="1" applyAlignment="1">
      <alignment horizontal="right"/>
    </xf>
    <xf numFmtId="0" fontId="7" fillId="2" borderId="0" xfId="0" applyFont="1" applyFill="1" applyAlignment="1">
      <alignment horizontal="center" vertical="center"/>
    </xf>
    <xf numFmtId="0" fontId="3" fillId="3" borderId="0" xfId="0" applyFont="1" applyFill="1" applyAlignment="1">
      <alignment horizontal="center" vertical="center"/>
    </xf>
    <xf numFmtId="0" fontId="4" fillId="3" borderId="0" xfId="0" applyFont="1" applyFill="1" applyAlignment="1">
      <alignment horizontal="left" vertical="center"/>
    </xf>
    <xf numFmtId="0" fontId="10" fillId="0" borderId="0" xfId="0" applyFont="1" applyAlignment="1">
      <alignment horizontal="left" vertical="center"/>
    </xf>
    <xf numFmtId="0" fontId="10" fillId="0" borderId="0" xfId="0" applyFont="1"/>
    <xf numFmtId="0" fontId="7" fillId="2" borderId="0" xfId="0" applyFont="1" applyFill="1" applyAlignment="1">
      <alignment horizontal="left" vertical="center"/>
    </xf>
    <xf numFmtId="0" fontId="10" fillId="0" borderId="0" xfId="0" applyFont="1" applyAlignment="1">
      <alignment horizontal="left" wrapText="1"/>
    </xf>
    <xf numFmtId="0" fontId="4" fillId="3" borderId="25" xfId="0" applyFont="1" applyFill="1" applyBorder="1" applyAlignment="1">
      <alignment horizontal="left" vertical="center"/>
    </xf>
    <xf numFmtId="0" fontId="3" fillId="0" borderId="21" xfId="0" applyFont="1" applyBorder="1" applyAlignment="1">
      <alignment horizontal="left" vertical="top" wrapText="1"/>
    </xf>
    <xf numFmtId="0" fontId="19" fillId="8" borderId="9" xfId="0" applyFont="1" applyFill="1" applyBorder="1" applyAlignment="1">
      <alignment horizontal="center" wrapText="1"/>
    </xf>
    <xf numFmtId="0" fontId="19" fillId="8" borderId="11" xfId="0" applyFont="1" applyFill="1" applyBorder="1" applyAlignment="1">
      <alignment horizontal="center" wrapText="1"/>
    </xf>
    <xf numFmtId="0" fontId="20" fillId="9" borderId="9" xfId="0" applyFont="1" applyFill="1" applyBorder="1" applyAlignment="1">
      <alignment horizontal="left" wrapText="1"/>
    </xf>
    <xf numFmtId="0" fontId="20" fillId="9" borderId="11" xfId="0" applyFont="1" applyFill="1" applyBorder="1" applyAlignment="1">
      <alignment horizontal="left" wrapText="1"/>
    </xf>
    <xf numFmtId="0" fontId="0" fillId="0" borderId="9" xfId="0" applyBorder="1" applyAlignment="1">
      <alignment horizontal="left" wrapText="1"/>
    </xf>
    <xf numFmtId="0" fontId="0" fillId="0" borderId="11" xfId="0" applyBorder="1" applyAlignment="1">
      <alignment horizontal="left" wrapText="1"/>
    </xf>
    <xf numFmtId="0" fontId="14" fillId="0" borderId="9" xfId="0" applyFont="1" applyBorder="1" applyAlignment="1">
      <alignment horizontal="center"/>
    </xf>
    <xf numFmtId="0" fontId="14" fillId="0" borderId="10" xfId="0" applyFont="1" applyBorder="1" applyAlignment="1">
      <alignment horizontal="center"/>
    </xf>
    <xf numFmtId="0" fontId="16" fillId="5" borderId="1" xfId="0" applyFont="1" applyFill="1" applyBorder="1" applyAlignment="1">
      <alignment horizontal="center"/>
    </xf>
    <xf numFmtId="0" fontId="21" fillId="8" borderId="0" xfId="5" applyFont="1" applyFill="1" applyAlignment="1">
      <alignment horizontal="center" wrapText="1"/>
    </xf>
    <xf numFmtId="0" fontId="16" fillId="0" borderId="10" xfId="5" applyFont="1" applyBorder="1" applyAlignment="1">
      <alignment horizontal="right"/>
    </xf>
    <xf numFmtId="0" fontId="16" fillId="0" borderId="23" xfId="5" applyFont="1" applyBorder="1" applyAlignment="1">
      <alignment horizontal="right"/>
    </xf>
    <xf numFmtId="0" fontId="22" fillId="10" borderId="24" xfId="5" applyFont="1" applyFill="1" applyBorder="1" applyAlignment="1">
      <alignment horizontal="left" wrapText="1"/>
    </xf>
    <xf numFmtId="0" fontId="22" fillId="10" borderId="3" xfId="5" applyFont="1" applyFill="1" applyBorder="1" applyAlignment="1">
      <alignment horizontal="left" wrapText="1"/>
    </xf>
    <xf numFmtId="0" fontId="22" fillId="10" borderId="8" xfId="5" applyFont="1" applyFill="1" applyBorder="1" applyAlignment="1">
      <alignment horizontal="left" wrapText="1"/>
    </xf>
    <xf numFmtId="0" fontId="22" fillId="10" borderId="5" xfId="5" applyFont="1" applyFill="1" applyBorder="1" applyAlignment="1">
      <alignment horizontal="left" wrapText="1"/>
    </xf>
    <xf numFmtId="0" fontId="19" fillId="8" borderId="0" xfId="5" applyFont="1" applyFill="1" applyAlignment="1">
      <alignment horizontal="center" wrapText="1"/>
    </xf>
  </cellXfs>
  <cellStyles count="8">
    <cellStyle name="Comma" xfId="1" builtinId="3"/>
    <cellStyle name="Comma 2" xfId="6" xr:uid="{AAE31395-9C05-44DF-9C3F-842526E9D236}"/>
    <cellStyle name="Hyperlink" xfId="2" builtinId="8"/>
    <cellStyle name="Normal" xfId="0" builtinId="0"/>
    <cellStyle name="Normal 2" xfId="5" xr:uid="{282993FE-C799-40E7-916F-C76270055FBC}"/>
    <cellStyle name="Percent" xfId="3" builtinId="5"/>
    <cellStyle name="Percent 13" xfId="4" xr:uid="{2826BFBD-F347-425C-9EE5-54D0DFAF5EBF}"/>
    <cellStyle name="Percent 2" xfId="7" xr:uid="{9BAEE50E-A470-44DA-8D8B-AE3D7727230C}"/>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CC0"/>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5335008</xdr:colOff>
      <xdr:row>33</xdr:row>
      <xdr:rowOff>69093</xdr:rowOff>
    </xdr:to>
    <xdr:pic>
      <xdr:nvPicPr>
        <xdr:cNvPr id="2" name="Picture 1">
          <a:extLst>
            <a:ext uri="{FF2B5EF4-FFF2-40B4-BE49-F238E27FC236}">
              <a16:creationId xmlns:a16="http://schemas.microsoft.com/office/drawing/2014/main" id="{86917B39-A20D-DA8C-AC49-27BAE94C09D5}"/>
            </a:ext>
          </a:extLst>
        </xdr:cNvPr>
        <xdr:cNvPicPr>
          <a:picLocks noChangeAspect="1"/>
        </xdr:cNvPicPr>
      </xdr:nvPicPr>
      <xdr:blipFill>
        <a:blip xmlns:r="http://schemas.openxmlformats.org/officeDocument/2006/relationships" r:embed="rId1"/>
        <a:stretch>
          <a:fillRect/>
        </a:stretch>
      </xdr:blipFill>
      <xdr:spPr>
        <a:xfrm>
          <a:off x="609600" y="182880"/>
          <a:ext cx="11636748" cy="5921253"/>
        </a:xfrm>
        <a:prstGeom prst="rect">
          <a:avLst/>
        </a:prstGeom>
      </xdr:spPr>
    </xdr:pic>
    <xdr:clientData/>
  </xdr:twoCellAnchor>
  <xdr:twoCellAnchor editAs="oneCell">
    <xdr:from>
      <xdr:col>1</xdr:col>
      <xdr:colOff>0</xdr:colOff>
      <xdr:row>37</xdr:row>
      <xdr:rowOff>0</xdr:rowOff>
    </xdr:from>
    <xdr:to>
      <xdr:col>5</xdr:col>
      <xdr:colOff>107764</xdr:colOff>
      <xdr:row>74</xdr:row>
      <xdr:rowOff>137758</xdr:rowOff>
    </xdr:to>
    <xdr:pic>
      <xdr:nvPicPr>
        <xdr:cNvPr id="3" name="Picture 2">
          <a:extLst>
            <a:ext uri="{FF2B5EF4-FFF2-40B4-BE49-F238E27FC236}">
              <a16:creationId xmlns:a16="http://schemas.microsoft.com/office/drawing/2014/main" id="{5946B2C7-4FE5-FA3A-B243-3249933925E3}"/>
            </a:ext>
          </a:extLst>
        </xdr:cNvPr>
        <xdr:cNvPicPr>
          <a:picLocks noChangeAspect="1"/>
        </xdr:cNvPicPr>
      </xdr:nvPicPr>
      <xdr:blipFill>
        <a:blip xmlns:r="http://schemas.openxmlformats.org/officeDocument/2006/relationships" r:embed="rId2"/>
        <a:stretch>
          <a:fillRect/>
        </a:stretch>
      </xdr:blipFill>
      <xdr:spPr>
        <a:xfrm>
          <a:off x="609600" y="6766560"/>
          <a:ext cx="12513124" cy="6904318"/>
        </a:xfrm>
        <a:prstGeom prst="rect">
          <a:avLst/>
        </a:prstGeom>
      </xdr:spPr>
    </xdr:pic>
    <xdr:clientData/>
  </xdr:twoCellAnchor>
  <xdr:twoCellAnchor editAs="oneCell">
    <xdr:from>
      <xdr:col>1</xdr:col>
      <xdr:colOff>0</xdr:colOff>
      <xdr:row>77</xdr:row>
      <xdr:rowOff>0</xdr:rowOff>
    </xdr:from>
    <xdr:to>
      <xdr:col>2</xdr:col>
      <xdr:colOff>5235467</xdr:colOff>
      <xdr:row>104</xdr:row>
      <xdr:rowOff>69014</xdr:rowOff>
    </xdr:to>
    <xdr:pic>
      <xdr:nvPicPr>
        <xdr:cNvPr id="4" name="Picture 3">
          <a:extLst>
            <a:ext uri="{FF2B5EF4-FFF2-40B4-BE49-F238E27FC236}">
              <a16:creationId xmlns:a16="http://schemas.microsoft.com/office/drawing/2014/main" id="{472FFA8A-A846-83F6-9FC9-A621AB1D2B67}"/>
            </a:ext>
          </a:extLst>
        </xdr:cNvPr>
        <xdr:cNvPicPr>
          <a:picLocks noChangeAspect="1"/>
        </xdr:cNvPicPr>
      </xdr:nvPicPr>
      <xdr:blipFill>
        <a:blip xmlns:r="http://schemas.openxmlformats.org/officeDocument/2006/relationships" r:embed="rId3"/>
        <a:stretch>
          <a:fillRect/>
        </a:stretch>
      </xdr:blipFill>
      <xdr:spPr>
        <a:xfrm>
          <a:off x="609600" y="14081760"/>
          <a:ext cx="6081287" cy="50067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Semester%203/360%20Huntington%20Fund/Waystar/Valuation%20Model%20-%20WAYSTAR-5.xlsx" TargetMode="External"/><Relationship Id="rId2" Type="http://schemas.openxmlformats.org/officeDocument/2006/relationships/externalLinkPath" Target="https://d.docs.live.net/9ac361a4f570363b/Desktop/Prachi/Semester%203/360%20Huntington%20Fund/Waystar/Valuation%20Model%20-%20WAYSTAR-5.xlsx" TargetMode="External"/><Relationship Id="rId1" Type="http://schemas.openxmlformats.org/officeDocument/2006/relationships/externalLinkPath" Target="/9ac361a4f570363b/Desktop/Prachi/Semester%203/360%20Huntington%20Fund/Waystar/Valuation%20Model%20-%20WAYSTAR-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Semester%203/360%20Huntington%20Fund/Valuation%20Model%20of%20Nutanix.xlsx" TargetMode="External"/><Relationship Id="rId2" Type="http://schemas.openxmlformats.org/officeDocument/2006/relationships/externalLinkPath" Target="https://d.docs.live.net/9ac361a4f570363b/Desktop/Prachi/Semester%203/360%20Huntington%20Fund/Valuation%20Model%20of%20Nutanix.xlsx" TargetMode="External"/><Relationship Id="rId1" Type="http://schemas.openxmlformats.org/officeDocument/2006/relationships/externalLinkPath" Target="/9ac361a4f570363b/Desktop/Prachi/Semester%203/360%20Huntington%20Fund/Valuation%20Model%20of%20Nutanix.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D:\PRACHI\Valuations\BDO%20Files\Hero%20Electric\Val%20Working%20-%20Hero%20Electric_v1.xlsx" TargetMode="External"/><Relationship Id="rId1" Type="http://schemas.openxmlformats.org/officeDocument/2006/relationships/externalLinkPath" Target="file:///D:\PRACHI\Valuations\BDO%20Files\Hero%20Electric\Val%20Working%20-%20Hero%20Electric_v1.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Waystar/Waystar%20Pre-IPO%20val%20model.xlsx" TargetMode="External"/><Relationship Id="rId2" Type="http://schemas.openxmlformats.org/officeDocument/2006/relationships/externalLinkPath" Target="https://d.docs.live.net/9ac361a4f570363b/Desktop/Prachi/Waystar/Waystar%20Pre-IPO%20val%20model.xlsx" TargetMode="External"/><Relationship Id="rId1" Type="http://schemas.openxmlformats.org/officeDocument/2006/relationships/externalLinkPath" Target="/9ac361a4f570363b/Desktop/Prachi/Waystar/Waystar%20Pre-IPO%20val%20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aluation--&gt;"/>
      <sheetName val="PB_CACHE"/>
      <sheetName val="Assumptions"/>
      <sheetName val="Financials"/>
      <sheetName val="DCF"/>
      <sheetName val="DCF (H-Model for TV)"/>
      <sheetName val="PE Multiples"/>
      <sheetName val="EV-EBITDA"/>
      <sheetName val="EV-Sales Multiples (2)"/>
      <sheetName val="EV-Sales Multiples"/>
      <sheetName val="Precedent Transaction Multiple"/>
      <sheetName val="DDM"/>
      <sheetName val="Summary"/>
      <sheetName val="IS Summary"/>
      <sheetName val="Addtl Support--&gt;"/>
      <sheetName val="Data_Input"/>
      <sheetName val="Data Visualisation"/>
    </sheetNames>
    <sheetDataSet>
      <sheetData sheetId="0"/>
      <sheetData sheetId="1"/>
      <sheetData sheetId="2">
        <row r="2">
          <cell r="B2" t="str">
            <v>Waystar Holding Corp.</v>
          </cell>
        </row>
        <row r="4">
          <cell r="B4">
            <v>18.75</v>
          </cell>
        </row>
        <row r="6">
          <cell r="C6">
            <v>1000000</v>
          </cell>
          <cell r="D6" t="str">
            <v>M</v>
          </cell>
        </row>
        <row r="34">
          <cell r="B34">
            <v>2.5000000000000001E-2</v>
          </cell>
        </row>
      </sheetData>
      <sheetData sheetId="3">
        <row r="6">
          <cell r="A6"/>
        </row>
      </sheetData>
      <sheetData sheetId="4">
        <row r="52">
          <cell r="C52">
            <v>7638.0487440130455</v>
          </cell>
          <cell r="D52">
            <v>39.820307935561402</v>
          </cell>
        </row>
        <row r="54">
          <cell r="C54">
            <v>6556.9487440130451</v>
          </cell>
          <cell r="D54">
            <v>34.184086388418322</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aluation--&gt;"/>
      <sheetName val="PB_CACHE"/>
      <sheetName val="Assumptions"/>
      <sheetName val="Financials"/>
      <sheetName val="DCF"/>
      <sheetName val="DCF (H-Model for TV)"/>
      <sheetName val="EV-EBITDA Multiples"/>
      <sheetName val="EV-FCF Multiples"/>
      <sheetName val="EV-Sales Multiples"/>
      <sheetName val="Precedent Transaction Multiple"/>
      <sheetName val="DDM"/>
      <sheetName val="Summary"/>
      <sheetName val="IS Summary"/>
      <sheetName val="Addtl Support--&gt;"/>
      <sheetName val="Data_Input"/>
      <sheetName val="Data Visualisation"/>
    </sheetNames>
    <sheetDataSet>
      <sheetData sheetId="0"/>
      <sheetData sheetId="1"/>
      <sheetData sheetId="2">
        <row r="12">
          <cell r="B12">
            <v>4.1300000000000003E-2</v>
          </cell>
        </row>
        <row r="13">
          <cell r="B13">
            <v>1.38</v>
          </cell>
        </row>
        <row r="14">
          <cell r="B14">
            <v>0.11</v>
          </cell>
        </row>
        <row r="15">
          <cell r="B15">
            <v>5.0724660000000005E-2</v>
          </cell>
        </row>
        <row r="18">
          <cell r="B18">
            <v>4.1300000000000003E-2</v>
          </cell>
        </row>
        <row r="19">
          <cell r="B19">
            <v>2.5000000000000001E-2</v>
          </cell>
        </row>
        <row r="20">
          <cell r="B20">
            <v>0</v>
          </cell>
        </row>
        <row r="21">
          <cell r="B21">
            <v>1.105</v>
          </cell>
        </row>
        <row r="22">
          <cell r="B22">
            <v>0.1145615</v>
          </cell>
        </row>
        <row r="25">
          <cell r="B25">
            <v>268.80000699999999</v>
          </cell>
        </row>
        <row r="27">
          <cell r="B27">
            <v>13254.52834517</v>
          </cell>
        </row>
        <row r="28">
          <cell r="B28">
            <v>116</v>
          </cell>
        </row>
        <row r="29">
          <cell r="B29">
            <v>13370.52834517</v>
          </cell>
        </row>
        <row r="30">
          <cell r="C30">
            <v>0.11400766448588773</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
      <sheetName val="Summary"/>
      <sheetName val="DCF"/>
      <sheetName val="PORI"/>
      <sheetName val="PORI (OLD)"/>
      <sheetName val="CTM"/>
      <sheetName val="CCM"/>
      <sheetName val="Market Multiple Method"/>
      <sheetName val="WACC"/>
      <sheetName val="PL"/>
      <sheetName val="BS"/>
      <sheetName val="GFA"/>
      <sheetName val="CAPEX Workings for IT"/>
      <sheetName val="NCA"/>
      <sheetName val="Tax"/>
      <sheetName val="DCF (FCFE)"/>
      <sheetName val="Tax (FCFE)"/>
      <sheetName val="FV of Surplus Assets"/>
      <sheetName val="NAV"/>
      <sheetName val="Cont Liab"/>
      <sheetName val="SH"/>
      <sheetName val="Beta"/>
      <sheetName val="ZCYC"/>
      <sheetName val="KPI Analysis"/>
      <sheetName val="Revenue Analysis"/>
    </sheetNames>
    <sheetDataSet>
      <sheetData sheetId="0">
        <row r="3">
          <cell r="E3">
            <v>44926</v>
          </cell>
        </row>
        <row r="7">
          <cell r="E7" t="str">
            <v>INR Mn</v>
          </cell>
        </row>
        <row r="17">
          <cell r="C17">
            <v>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dex"/>
      <sheetName val="Overview and Objective"/>
      <sheetName val="Valuation Summary"/>
      <sheetName val="FS "/>
      <sheetName val="DCF"/>
      <sheetName val="WACC"/>
      <sheetName val="Market Approach"/>
      <sheetName val="Comps S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www.sec.gov/Archives/edgar/data/1990354/000110465924065282/tm2333808-9_s1a.htm" TargetMode="External"/><Relationship Id="rId1" Type="http://schemas.openxmlformats.org/officeDocument/2006/relationships/hyperlink" Target="https://www.sec.gov/Archives/edgar/data/1990354/000110465924065282/tm2333808-9_s1a.htm"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3A653-55DE-4F29-8C52-CFD49903DFB5}">
  <dimension ref="B1:C4"/>
  <sheetViews>
    <sheetView showGridLines="0" workbookViewId="0">
      <selection activeCell="C12" sqref="C12"/>
    </sheetView>
  </sheetViews>
  <sheetFormatPr defaultRowHeight="14.4" x14ac:dyDescent="0.3"/>
  <cols>
    <col min="3" max="3" width="79.5546875" customWidth="1"/>
  </cols>
  <sheetData>
    <row r="1" spans="2:3" ht="15" thickBot="1" x14ac:dyDescent="0.35"/>
    <row r="2" spans="2:3" ht="15" thickBot="1" x14ac:dyDescent="0.35">
      <c r="B2" s="122" t="s">
        <v>160</v>
      </c>
      <c r="C2" s="123"/>
    </row>
    <row r="3" spans="2:3" ht="15" thickBot="1" x14ac:dyDescent="0.35">
      <c r="B3" s="124" t="s">
        <v>161</v>
      </c>
      <c r="C3" s="125"/>
    </row>
    <row r="4" spans="2:3" ht="144.6" customHeight="1" thickBot="1" x14ac:dyDescent="0.35">
      <c r="B4" s="126" t="s">
        <v>162</v>
      </c>
      <c r="C4" s="127"/>
    </row>
  </sheetData>
  <mergeCells count="3">
    <mergeCell ref="B2:C2"/>
    <mergeCell ref="B3:C3"/>
    <mergeCell ref="B4:C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7"/>
  <sheetViews>
    <sheetView showGridLines="0" tabSelected="1" zoomScale="110" zoomScaleNormal="100" workbookViewId="0">
      <selection activeCell="C25" sqref="C25"/>
    </sheetView>
  </sheetViews>
  <sheetFormatPr defaultColWidth="8.6640625" defaultRowHeight="13.8" x14ac:dyDescent="0.3"/>
  <cols>
    <col min="1" max="1" width="42" style="27" customWidth="1"/>
    <col min="2" max="6" width="22" style="27" customWidth="1"/>
    <col min="7" max="7" width="50.5546875" style="34" customWidth="1"/>
    <col min="8" max="16384" width="8.6640625" style="27"/>
  </cols>
  <sheetData>
    <row r="1" spans="1:11" ht="15.75" customHeight="1" x14ac:dyDescent="0.3">
      <c r="A1" s="113" t="s">
        <v>107</v>
      </c>
      <c r="B1" s="113"/>
      <c r="C1" s="113"/>
      <c r="D1" s="113"/>
      <c r="E1" s="113"/>
      <c r="F1" s="113"/>
      <c r="G1" s="113"/>
    </row>
    <row r="2" spans="1:11" ht="15.75" customHeight="1" x14ac:dyDescent="0.3">
      <c r="A2" s="114" t="s">
        <v>0</v>
      </c>
      <c r="B2" s="114"/>
      <c r="C2" s="114"/>
      <c r="D2" s="114"/>
      <c r="E2" s="114"/>
      <c r="F2" s="114"/>
      <c r="G2" s="114"/>
    </row>
    <row r="3" spans="1:11" ht="6" customHeight="1" x14ac:dyDescent="0.3"/>
    <row r="4" spans="1:11" ht="15.75" customHeight="1" x14ac:dyDescent="0.3">
      <c r="A4" s="115" t="s">
        <v>1</v>
      </c>
      <c r="B4" s="115"/>
      <c r="C4" s="115"/>
      <c r="D4" s="115"/>
      <c r="E4" s="115"/>
      <c r="F4" s="115"/>
      <c r="G4" s="115"/>
    </row>
    <row r="5" spans="1:11" ht="15.75" customHeight="1" x14ac:dyDescent="0.35">
      <c r="A5" s="2" t="s">
        <v>2</v>
      </c>
      <c r="B5" s="32">
        <v>45382</v>
      </c>
    </row>
    <row r="6" spans="1:11" ht="15.75" customHeight="1" x14ac:dyDescent="0.35">
      <c r="A6" s="2" t="s">
        <v>111</v>
      </c>
      <c r="B6" s="32">
        <v>45450</v>
      </c>
    </row>
    <row r="7" spans="1:11" ht="15.75" customHeight="1" x14ac:dyDescent="0.35">
      <c r="A7" s="2" t="s">
        <v>132</v>
      </c>
      <c r="B7" s="4">
        <f>2620*0+'Market Approach'!D24</f>
        <v>2818.3020869402512</v>
      </c>
      <c r="G7" s="58" t="s">
        <v>196</v>
      </c>
      <c r="J7" s="30"/>
    </row>
    <row r="8" spans="1:11" ht="15.75" customHeight="1" x14ac:dyDescent="0.35">
      <c r="A8" s="5" t="s">
        <v>3</v>
      </c>
      <c r="B8" s="4">
        <f>2218130/10^3</f>
        <v>2218.13</v>
      </c>
      <c r="G8" s="58" t="s">
        <v>206</v>
      </c>
      <c r="K8" s="31"/>
    </row>
    <row r="9" spans="1:11" ht="15.75" customHeight="1" x14ac:dyDescent="0.35">
      <c r="A9" s="5" t="s">
        <v>4</v>
      </c>
      <c r="B9" s="6">
        <f>B7+B8</f>
        <v>5036.4320869402509</v>
      </c>
      <c r="G9" s="58"/>
    </row>
    <row r="10" spans="1:11" ht="15.75" customHeight="1" x14ac:dyDescent="0.35">
      <c r="A10" s="5" t="s">
        <v>5</v>
      </c>
      <c r="B10" s="7">
        <v>121659634</v>
      </c>
      <c r="G10" s="59" t="s">
        <v>108</v>
      </c>
    </row>
    <row r="11" spans="1:11" ht="15.75" customHeight="1" x14ac:dyDescent="0.35">
      <c r="A11" s="5" t="s">
        <v>6</v>
      </c>
      <c r="B11" s="7">
        <v>13670211</v>
      </c>
      <c r="G11" s="59" t="s">
        <v>108</v>
      </c>
    </row>
    <row r="12" spans="1:11" ht="15.75" customHeight="1" x14ac:dyDescent="0.35">
      <c r="A12" s="5" t="s">
        <v>7</v>
      </c>
      <c r="B12" s="8">
        <v>16.3</v>
      </c>
      <c r="G12" s="58" t="s">
        <v>8</v>
      </c>
    </row>
    <row r="13" spans="1:11" ht="15.75" customHeight="1" x14ac:dyDescent="0.35">
      <c r="A13" s="5" t="s">
        <v>109</v>
      </c>
      <c r="B13" s="8">
        <v>21.5</v>
      </c>
      <c r="G13" s="58" t="s">
        <v>110</v>
      </c>
    </row>
    <row r="14" spans="1:11" ht="15.75" customHeight="1" x14ac:dyDescent="0.35">
      <c r="A14" s="5" t="s">
        <v>195</v>
      </c>
      <c r="B14" s="9">
        <f>B7/B10*10^6</f>
        <v>23.165465769363166</v>
      </c>
      <c r="G14" s="58"/>
    </row>
    <row r="15" spans="1:11" ht="7.5" customHeight="1" x14ac:dyDescent="0.3"/>
    <row r="16" spans="1:11" ht="15.75" customHeight="1" x14ac:dyDescent="0.3">
      <c r="A16" s="115" t="s">
        <v>9</v>
      </c>
      <c r="B16" s="115"/>
      <c r="C16" s="115"/>
      <c r="D16" s="115"/>
      <c r="E16" s="115"/>
      <c r="F16" s="115"/>
      <c r="G16" s="115"/>
    </row>
    <row r="17" spans="1:7" ht="15.75" customHeight="1" x14ac:dyDescent="0.35">
      <c r="A17" s="2" t="s">
        <v>10</v>
      </c>
      <c r="B17" s="6">
        <f>B7</f>
        <v>2818.3020869402512</v>
      </c>
      <c r="G17" s="58"/>
    </row>
    <row r="18" spans="1:7" ht="15.75" customHeight="1" x14ac:dyDescent="0.35">
      <c r="A18" s="5" t="s">
        <v>11</v>
      </c>
      <c r="B18" s="10">
        <v>5.4600000000000003E-2</v>
      </c>
      <c r="G18" s="33" t="s">
        <v>127</v>
      </c>
    </row>
    <row r="19" spans="1:7" ht="15.75" customHeight="1" x14ac:dyDescent="0.35">
      <c r="A19" s="5" t="s">
        <v>128</v>
      </c>
      <c r="B19" s="11">
        <f>68/365</f>
        <v>0.18630136986301371</v>
      </c>
      <c r="G19" s="58" t="s">
        <v>12</v>
      </c>
    </row>
    <row r="20" spans="1:7" ht="15.75" customHeight="1" x14ac:dyDescent="0.35">
      <c r="A20" s="5" t="s">
        <v>129</v>
      </c>
      <c r="B20" s="57">
        <f>'Peer Volatility'!$R$10</f>
        <v>0.43998275710304097</v>
      </c>
      <c r="G20" s="58"/>
    </row>
    <row r="21" spans="1:7" ht="7.5" customHeight="1" x14ac:dyDescent="0.3"/>
    <row r="22" spans="1:7" ht="15.75" customHeight="1" x14ac:dyDescent="0.3">
      <c r="A22" s="115" t="s">
        <v>112</v>
      </c>
      <c r="B22" s="115"/>
      <c r="C22" s="115"/>
      <c r="D22" s="115"/>
      <c r="E22" s="115"/>
      <c r="F22" s="115"/>
      <c r="G22" s="115"/>
    </row>
    <row r="23" spans="1:7" ht="15.75" customHeight="1" x14ac:dyDescent="0.3">
      <c r="A23" s="116" t="s">
        <v>13</v>
      </c>
      <c r="B23" s="116"/>
      <c r="C23" s="116"/>
      <c r="D23" s="116"/>
      <c r="E23" s="116"/>
      <c r="F23" s="116"/>
      <c r="G23" s="116"/>
    </row>
    <row r="24" spans="1:7" ht="15.75" customHeight="1" x14ac:dyDescent="0.3">
      <c r="A24" s="1" t="s">
        <v>14</v>
      </c>
      <c r="B24" s="29" t="s">
        <v>15</v>
      </c>
      <c r="C24" s="29" t="s">
        <v>16</v>
      </c>
      <c r="D24" s="29" t="s">
        <v>17</v>
      </c>
      <c r="E24" s="29" t="s">
        <v>18</v>
      </c>
      <c r="F24" s="29" t="s">
        <v>19</v>
      </c>
      <c r="G24" s="1" t="s">
        <v>20</v>
      </c>
    </row>
    <row r="25" spans="1:7" ht="15.75" customHeight="1" x14ac:dyDescent="0.35">
      <c r="A25" s="5" t="s">
        <v>21</v>
      </c>
      <c r="B25" s="7">
        <v>48653090</v>
      </c>
      <c r="C25" s="13">
        <f>B25/B10</f>
        <v>0.39991152694080928</v>
      </c>
      <c r="D25" s="12">
        <f>E25/($B$10+45*10^6)</f>
        <v>0.29193085831449744</v>
      </c>
      <c r="E25" s="7">
        <f>B25</f>
        <v>48653090</v>
      </c>
      <c r="F25" s="14">
        <v>1350</v>
      </c>
      <c r="G25" s="58" t="s">
        <v>22</v>
      </c>
    </row>
    <row r="26" spans="1:7" ht="15.75" customHeight="1" x14ac:dyDescent="0.35">
      <c r="A26" s="5" t="s">
        <v>23</v>
      </c>
      <c r="B26" s="7">
        <v>37183498</v>
      </c>
      <c r="C26" s="13">
        <f>B26/B10</f>
        <v>0.30563545834767181</v>
      </c>
      <c r="D26" s="12">
        <f t="shared" ref="D26:D28" si="0">E26/($B$10+45*10^6)</f>
        <v>0.22311040236653826</v>
      </c>
      <c r="E26" s="7">
        <f t="shared" ref="E26:E28" si="1">B26</f>
        <v>37183498</v>
      </c>
      <c r="F26" s="14">
        <v>880</v>
      </c>
      <c r="G26" s="58" t="s">
        <v>24</v>
      </c>
    </row>
    <row r="27" spans="1:7" ht="15.75" customHeight="1" x14ac:dyDescent="0.35">
      <c r="A27" s="5" t="s">
        <v>25</v>
      </c>
      <c r="B27" s="7">
        <v>28014818</v>
      </c>
      <c r="C27" s="13">
        <f>B27/B10</f>
        <v>0.23027208843978603</v>
      </c>
      <c r="D27" s="12">
        <f t="shared" si="0"/>
        <v>0.1680960009788573</v>
      </c>
      <c r="E27" s="7">
        <f t="shared" si="1"/>
        <v>28014818</v>
      </c>
      <c r="F27" s="14">
        <v>390</v>
      </c>
      <c r="G27" s="58" t="s">
        <v>26</v>
      </c>
    </row>
    <row r="28" spans="1:7" ht="15.75" customHeight="1" x14ac:dyDescent="0.35">
      <c r="A28" s="5" t="s">
        <v>27</v>
      </c>
      <c r="B28" s="7">
        <v>7108228</v>
      </c>
      <c r="C28" s="13">
        <f>B28/B10</f>
        <v>5.8427169031266359E-2</v>
      </c>
      <c r="D28" s="12">
        <f t="shared" si="0"/>
        <v>4.2651167708672638E-2</v>
      </c>
      <c r="E28" s="7">
        <f t="shared" si="1"/>
        <v>7108228</v>
      </c>
      <c r="F28" s="14">
        <v>72</v>
      </c>
      <c r="G28" s="58" t="s">
        <v>28</v>
      </c>
    </row>
    <row r="29" spans="1:7" ht="15.75" customHeight="1" x14ac:dyDescent="0.35">
      <c r="A29" s="15" t="s">
        <v>29</v>
      </c>
      <c r="B29" s="16">
        <f>SUM(B25:B28)</f>
        <v>120959634</v>
      </c>
      <c r="C29" s="13">
        <f>B29/B10</f>
        <v>0.99424624275953355</v>
      </c>
      <c r="F29" s="17">
        <f>SUM(F25:F28)</f>
        <v>2692</v>
      </c>
    </row>
    <row r="30" spans="1:7" ht="15.75" customHeight="1" x14ac:dyDescent="0.3"/>
    <row r="31" spans="1:7" ht="15.75" customHeight="1" x14ac:dyDescent="0.3">
      <c r="A31" s="115" t="s">
        <v>135</v>
      </c>
      <c r="B31" s="115"/>
      <c r="C31" s="115"/>
      <c r="D31" s="115"/>
      <c r="E31" s="115"/>
      <c r="F31" s="115"/>
      <c r="G31" s="115"/>
    </row>
    <row r="32" spans="1:7" ht="15.75" customHeight="1" x14ac:dyDescent="0.3">
      <c r="A32" s="1" t="s">
        <v>30</v>
      </c>
      <c r="B32" s="29" t="s">
        <v>31</v>
      </c>
      <c r="C32" s="29" t="s">
        <v>32</v>
      </c>
      <c r="D32" s="29" t="s">
        <v>33</v>
      </c>
      <c r="E32" s="29" t="s">
        <v>34</v>
      </c>
      <c r="F32" s="29"/>
      <c r="G32" s="1" t="s">
        <v>20</v>
      </c>
    </row>
    <row r="33" spans="1:7" ht="15.75" customHeight="1" x14ac:dyDescent="0.35">
      <c r="A33" s="5" t="s">
        <v>35</v>
      </c>
      <c r="B33" s="18">
        <v>0</v>
      </c>
      <c r="C33" s="18">
        <v>0</v>
      </c>
      <c r="D33" s="5" t="s">
        <v>36</v>
      </c>
      <c r="E33" s="117" t="s">
        <v>130</v>
      </c>
      <c r="F33" s="117"/>
      <c r="G33" s="58" t="s">
        <v>37</v>
      </c>
    </row>
    <row r="34" spans="1:7" ht="15.75" customHeight="1" x14ac:dyDescent="0.35">
      <c r="A34" s="5" t="s">
        <v>38</v>
      </c>
      <c r="B34" s="112">
        <f>F29</f>
        <v>2692</v>
      </c>
      <c r="C34" s="112">
        <f>B34-B33</f>
        <v>2692</v>
      </c>
      <c r="D34" s="5" t="s">
        <v>39</v>
      </c>
      <c r="E34" s="117" t="s">
        <v>131</v>
      </c>
      <c r="F34" s="117"/>
      <c r="G34" s="58" t="s">
        <v>40</v>
      </c>
    </row>
    <row r="35" spans="1:7" ht="15.75" customHeight="1" x14ac:dyDescent="0.35">
      <c r="A35" s="5" t="s">
        <v>41</v>
      </c>
      <c r="B35" s="3" t="s">
        <v>42</v>
      </c>
      <c r="C35" s="3" t="s">
        <v>43</v>
      </c>
      <c r="D35" s="5" t="s">
        <v>39</v>
      </c>
      <c r="E35" s="117" t="s">
        <v>44</v>
      </c>
      <c r="F35" s="117"/>
      <c r="G35" s="58" t="s">
        <v>45</v>
      </c>
    </row>
    <row r="36" spans="1:7" ht="15.75" customHeight="1" x14ac:dyDescent="0.3"/>
    <row r="37" spans="1:7" ht="15.75" customHeight="1" x14ac:dyDescent="0.3">
      <c r="A37" s="115" t="s">
        <v>46</v>
      </c>
      <c r="B37" s="115"/>
      <c r="C37" s="115"/>
      <c r="D37" s="115"/>
      <c r="E37" s="115"/>
      <c r="F37" s="115"/>
      <c r="G37" s="115"/>
    </row>
    <row r="38" spans="1:7" ht="15.75" customHeight="1" x14ac:dyDescent="0.3">
      <c r="A38" s="116" t="s">
        <v>47</v>
      </c>
      <c r="B38" s="116"/>
      <c r="C38" s="116"/>
      <c r="D38" s="116"/>
      <c r="E38" s="116"/>
      <c r="F38" s="116"/>
      <c r="G38" s="116"/>
    </row>
    <row r="39" spans="1:7" ht="15.75" customHeight="1" x14ac:dyDescent="0.3">
      <c r="A39" s="1" t="s">
        <v>48</v>
      </c>
      <c r="B39" s="61" t="s">
        <v>49</v>
      </c>
      <c r="C39" s="61" t="s">
        <v>50</v>
      </c>
      <c r="D39" s="29"/>
      <c r="E39" s="29"/>
      <c r="F39" s="29"/>
      <c r="G39" s="1"/>
    </row>
    <row r="40" spans="1:7" ht="15.75" customHeight="1" x14ac:dyDescent="0.35">
      <c r="A40" s="5" t="s">
        <v>51</v>
      </c>
      <c r="B40" s="6" t="s">
        <v>52</v>
      </c>
      <c r="C40" s="6">
        <f>$B$34</f>
        <v>2692</v>
      </c>
    </row>
    <row r="41" spans="1:7" ht="15.75" customHeight="1" x14ac:dyDescent="0.35">
      <c r="A41" s="5" t="s">
        <v>53</v>
      </c>
      <c r="B41" s="3" t="s">
        <v>54</v>
      </c>
      <c r="C41" s="19">
        <f>(LN($B$17/$B$34)+($B$18+0.5*$B$20^2)*$B$19)/($B$20*SQRT($B$19))</f>
        <v>0.38995059298559565</v>
      </c>
    </row>
    <row r="42" spans="1:7" ht="15.75" customHeight="1" x14ac:dyDescent="0.35">
      <c r="A42" s="5" t="s">
        <v>55</v>
      </c>
      <c r="B42" s="3" t="s">
        <v>54</v>
      </c>
      <c r="C42" s="19">
        <f>C41-B20*SQRT(B19)</f>
        <v>0.20004240893186639</v>
      </c>
    </row>
    <row r="43" spans="1:7" ht="15.75" customHeight="1" x14ac:dyDescent="0.35">
      <c r="A43" s="5" t="s">
        <v>56</v>
      </c>
      <c r="B43" s="20">
        <v>1</v>
      </c>
      <c r="C43" s="19">
        <f>NORMSDIST(C41)</f>
        <v>0.65171345921898172</v>
      </c>
    </row>
    <row r="44" spans="1:7" ht="15.75" customHeight="1" x14ac:dyDescent="0.35">
      <c r="A44" s="5" t="s">
        <v>57</v>
      </c>
      <c r="B44" s="20">
        <v>1</v>
      </c>
      <c r="C44" s="19">
        <f>NORMSDIST(C42)</f>
        <v>0.57927629307173412</v>
      </c>
    </row>
    <row r="45" spans="1:7" ht="15.75" customHeight="1" x14ac:dyDescent="0.35">
      <c r="A45" s="5" t="s">
        <v>58</v>
      </c>
      <c r="B45" s="6">
        <f>$B$17</f>
        <v>2818.3020869402512</v>
      </c>
      <c r="C45" s="6">
        <f>$B$17*C43-$C$40*EXP(-$B$18*$B$19)*C44</f>
        <v>293.09563947962147</v>
      </c>
    </row>
    <row r="46" spans="1:7" ht="15.75" customHeight="1" x14ac:dyDescent="0.3"/>
    <row r="47" spans="1:7" ht="15.75" customHeight="1" x14ac:dyDescent="0.3">
      <c r="A47" s="115" t="s">
        <v>59</v>
      </c>
      <c r="B47" s="115"/>
      <c r="C47" s="115"/>
      <c r="D47" s="115"/>
      <c r="E47" s="115"/>
      <c r="F47" s="115"/>
      <c r="G47" s="115"/>
    </row>
    <row r="48" spans="1:7" ht="15.75" customHeight="1" x14ac:dyDescent="0.3">
      <c r="A48" s="1" t="s">
        <v>60</v>
      </c>
      <c r="B48" s="29" t="s">
        <v>207</v>
      </c>
      <c r="C48" s="29" t="s">
        <v>208</v>
      </c>
      <c r="D48" s="29" t="s">
        <v>32</v>
      </c>
      <c r="E48" s="29" t="s">
        <v>61</v>
      </c>
      <c r="F48" s="29" t="s">
        <v>62</v>
      </c>
    </row>
    <row r="49" spans="1:7" ht="15.75" customHeight="1" x14ac:dyDescent="0.35">
      <c r="A49" s="5" t="s">
        <v>198</v>
      </c>
      <c r="B49" s="6">
        <f>B45</f>
        <v>2818.3020869402512</v>
      </c>
      <c r="C49" s="6">
        <f>C45</f>
        <v>293.09563947962147</v>
      </c>
      <c r="D49" s="6">
        <f>B49-C49</f>
        <v>2525.2064474606295</v>
      </c>
      <c r="E49" s="13">
        <f>D49/B7</f>
        <v>0.89600275966235143</v>
      </c>
      <c r="F49" s="5" t="s">
        <v>63</v>
      </c>
    </row>
    <row r="50" spans="1:7" ht="15.75" customHeight="1" x14ac:dyDescent="0.35">
      <c r="A50" s="5" t="s">
        <v>64</v>
      </c>
      <c r="B50" s="6">
        <f>C45</f>
        <v>293.09563947962147</v>
      </c>
      <c r="C50" s="4">
        <v>0</v>
      </c>
      <c r="D50" s="6">
        <f>B50-C50</f>
        <v>293.09563947962147</v>
      </c>
      <c r="E50" s="13">
        <f>D50/B7</f>
        <v>0.10399724033764844</v>
      </c>
      <c r="F50" s="5" t="s">
        <v>63</v>
      </c>
    </row>
    <row r="51" spans="1:7" ht="15.75" customHeight="1" x14ac:dyDescent="0.35">
      <c r="A51" s="15" t="s">
        <v>65</v>
      </c>
      <c r="D51" s="6">
        <f>D49+D50</f>
        <v>2818.3020869402508</v>
      </c>
      <c r="E51" s="13">
        <f>D51/B7</f>
        <v>0.99999999999999989</v>
      </c>
    </row>
    <row r="52" spans="1:7" ht="15.75" customHeight="1" x14ac:dyDescent="0.3"/>
    <row r="53" spans="1:7" ht="15.75" customHeight="1" x14ac:dyDescent="0.3">
      <c r="A53" s="115" t="s">
        <v>66</v>
      </c>
      <c r="B53" s="115"/>
      <c r="C53" s="115"/>
      <c r="D53" s="115"/>
      <c r="E53" s="115"/>
      <c r="F53" s="115"/>
      <c r="G53" s="115"/>
    </row>
    <row r="54" spans="1:7" ht="15.75" customHeight="1" x14ac:dyDescent="0.35">
      <c r="A54" s="1" t="s">
        <v>14</v>
      </c>
      <c r="B54" s="29" t="s">
        <v>67</v>
      </c>
      <c r="C54" s="29" t="s">
        <v>68</v>
      </c>
      <c r="D54" s="29" t="s">
        <v>69</v>
      </c>
      <c r="E54" s="29" t="s">
        <v>70</v>
      </c>
      <c r="F54" s="29" t="s">
        <v>71</v>
      </c>
      <c r="G54" s="60" t="s">
        <v>72</v>
      </c>
    </row>
    <row r="55" spans="1:7" ht="15.75" customHeight="1" x14ac:dyDescent="0.35">
      <c r="A55" s="5" t="s">
        <v>21</v>
      </c>
      <c r="B55" s="13">
        <f>B25/B29</f>
        <v>0.40222583676137774</v>
      </c>
      <c r="C55" s="6">
        <f>B55*D51</f>
        <v>1133.5939151658795</v>
      </c>
      <c r="D55" s="9">
        <f>C55*10^6/B25</f>
        <v>23.299525583388014</v>
      </c>
      <c r="E55" s="12">
        <v>0</v>
      </c>
      <c r="F55" s="9">
        <f>D55*(1-E55)</f>
        <v>23.299525583388014</v>
      </c>
      <c r="G55" s="16">
        <f>B25</f>
        <v>48653090</v>
      </c>
    </row>
    <row r="56" spans="1:7" ht="15.75" customHeight="1" x14ac:dyDescent="0.35">
      <c r="A56" s="5" t="s">
        <v>23</v>
      </c>
      <c r="B56" s="13">
        <f>B26/B29</f>
        <v>0.30740418741677078</v>
      </c>
      <c r="C56" s="6">
        <f>B56*D51</f>
        <v>866.3578629308571</v>
      </c>
      <c r="D56" s="9">
        <f>C56*10^6/B26</f>
        <v>23.299525583388014</v>
      </c>
      <c r="E56" s="12">
        <v>0</v>
      </c>
      <c r="F56" s="9">
        <f>D56*(1-E56)</f>
        <v>23.299525583388014</v>
      </c>
      <c r="G56" s="16">
        <f>B26</f>
        <v>37183498</v>
      </c>
    </row>
    <row r="57" spans="1:7" ht="15.75" customHeight="1" x14ac:dyDescent="0.35">
      <c r="A57" s="5" t="s">
        <v>25</v>
      </c>
      <c r="B57" s="13">
        <f>B27/B29</f>
        <v>0.23160468557634689</v>
      </c>
      <c r="C57" s="6">
        <f>B57*D51</f>
        <v>652.73196870495906</v>
      </c>
      <c r="D57" s="9">
        <f>C57*10^6/B27</f>
        <v>23.299525583388014</v>
      </c>
      <c r="E57" s="12">
        <v>0</v>
      </c>
      <c r="F57" s="9">
        <f>D57*(1-E57)</f>
        <v>23.299525583388014</v>
      </c>
      <c r="G57" s="16">
        <f>B27</f>
        <v>28014818</v>
      </c>
    </row>
    <row r="58" spans="1:7" ht="15.75" customHeight="1" x14ac:dyDescent="0.35">
      <c r="A58" s="5" t="s">
        <v>27</v>
      </c>
      <c r="B58" s="13">
        <f>B28/B29</f>
        <v>5.8765290245504545E-2</v>
      </c>
      <c r="C58" s="6">
        <f>B58*D51</f>
        <v>165.61834013855503</v>
      </c>
      <c r="D58" s="9">
        <f>C58*10^6/B28</f>
        <v>23.299525583388014</v>
      </c>
      <c r="E58" s="13">
        <f>B72</f>
        <v>7.0313278099082291E-2</v>
      </c>
      <c r="F58" s="9">
        <f>D58*(1-E58)</f>
        <v>21.661259561466572</v>
      </c>
      <c r="G58" s="16">
        <f>B28</f>
        <v>7108228</v>
      </c>
    </row>
    <row r="59" spans="1:7" ht="15.75" customHeight="1" x14ac:dyDescent="0.35">
      <c r="A59" s="15" t="s">
        <v>73</v>
      </c>
      <c r="C59" s="6">
        <f>SUM(C55:C58)</f>
        <v>2818.3020869402508</v>
      </c>
      <c r="D59" s="9">
        <f>C59*10^6/B29</f>
        <v>23.299525583388014</v>
      </c>
      <c r="G59" s="16">
        <f>SUM(G55:G58)</f>
        <v>120959634</v>
      </c>
    </row>
    <row r="60" spans="1:7" ht="15.75" customHeight="1" x14ac:dyDescent="0.3"/>
    <row r="61" spans="1:7" ht="15.75" customHeight="1" x14ac:dyDescent="0.3">
      <c r="A61" s="115" t="s">
        <v>134</v>
      </c>
      <c r="B61" s="115"/>
      <c r="C61" s="115"/>
      <c r="D61" s="115"/>
      <c r="E61" s="115"/>
      <c r="F61" s="115"/>
      <c r="G61" s="115"/>
    </row>
    <row r="62" spans="1:7" ht="15.75" customHeight="1" x14ac:dyDescent="0.3">
      <c r="A62" s="116" t="s">
        <v>74</v>
      </c>
      <c r="B62" s="116"/>
      <c r="C62" s="116"/>
      <c r="D62" s="116"/>
      <c r="E62" s="116"/>
      <c r="F62" s="116"/>
      <c r="G62" s="116"/>
    </row>
    <row r="63" spans="1:7" ht="15.75" customHeight="1" x14ac:dyDescent="0.3">
      <c r="A63" s="2" t="s">
        <v>75</v>
      </c>
    </row>
    <row r="64" spans="1:7" ht="15.75" customHeight="1" x14ac:dyDescent="0.35">
      <c r="A64" s="5" t="s">
        <v>76</v>
      </c>
      <c r="B64" s="9">
        <f>D59</f>
        <v>23.299525583388014</v>
      </c>
    </row>
    <row r="65" spans="1:7" ht="15.75" customHeight="1" x14ac:dyDescent="0.35">
      <c r="A65" s="5" t="s">
        <v>77</v>
      </c>
      <c r="B65" s="9">
        <f>B64</f>
        <v>23.299525583388014</v>
      </c>
    </row>
    <row r="66" spans="1:7" ht="15.75" customHeight="1" x14ac:dyDescent="0.35">
      <c r="A66" s="5" t="s">
        <v>78</v>
      </c>
      <c r="B66" s="13">
        <f>$B$20</f>
        <v>0.43998275710304097</v>
      </c>
    </row>
    <row r="67" spans="1:7" ht="15.75" customHeight="1" x14ac:dyDescent="0.35">
      <c r="A67" s="5" t="s">
        <v>79</v>
      </c>
      <c r="B67" s="21">
        <f>$B$19</f>
        <v>0.18630136986301371</v>
      </c>
    </row>
    <row r="68" spans="1:7" ht="15.75" customHeight="1" x14ac:dyDescent="0.35">
      <c r="A68" s="5" t="s">
        <v>80</v>
      </c>
      <c r="B68" s="22">
        <f>$B$18</f>
        <v>5.4600000000000003E-2</v>
      </c>
    </row>
    <row r="69" spans="1:7" ht="15.75" customHeight="1" x14ac:dyDescent="0.35">
      <c r="A69" s="5" t="s">
        <v>81</v>
      </c>
      <c r="B69" s="19">
        <f>(LN(B64/B65)+(B68+0.5*B66^2)*B67)/(B66*SQRT(B67))</f>
        <v>0.14851710641303056</v>
      </c>
    </row>
    <row r="70" spans="1:7" ht="15.75" customHeight="1" x14ac:dyDescent="0.35">
      <c r="A70" s="5" t="s">
        <v>82</v>
      </c>
      <c r="B70" s="19">
        <f>B69-B66*SQRT(B67)</f>
        <v>-4.1391077640698687E-2</v>
      </c>
    </row>
    <row r="71" spans="1:7" ht="15.75" customHeight="1" x14ac:dyDescent="0.35">
      <c r="A71" s="5" t="s">
        <v>83</v>
      </c>
      <c r="B71" s="9">
        <f>B65*EXP(-B68*B67)*NORMSDIST(-B70)-B64*NORMSDIST(-B69)</f>
        <v>1.638266021921444</v>
      </c>
    </row>
    <row r="72" spans="1:7" ht="15.75" customHeight="1" x14ac:dyDescent="0.35">
      <c r="A72" s="15" t="s">
        <v>84</v>
      </c>
      <c r="B72" s="13">
        <f>B71/B64</f>
        <v>7.0313278099082291E-2</v>
      </c>
      <c r="C72" s="28" t="s">
        <v>85</v>
      </c>
    </row>
    <row r="73" spans="1:7" ht="14.4" x14ac:dyDescent="0.35">
      <c r="A73" s="119" t="s">
        <v>163</v>
      </c>
      <c r="B73" s="119"/>
      <c r="C73" s="119"/>
      <c r="D73" s="119"/>
      <c r="E73" s="119"/>
      <c r="F73" s="119"/>
      <c r="G73" s="119"/>
    </row>
    <row r="74" spans="1:7" ht="15.75" customHeight="1" x14ac:dyDescent="0.3"/>
    <row r="75" spans="1:7" ht="15.75" customHeight="1" x14ac:dyDescent="0.3">
      <c r="A75" s="118" t="s">
        <v>133</v>
      </c>
      <c r="B75" s="118"/>
      <c r="C75" s="118"/>
      <c r="D75" s="118"/>
      <c r="E75" s="118"/>
      <c r="F75" s="118"/>
      <c r="G75" s="118"/>
    </row>
    <row r="76" spans="1:7" ht="15.75" customHeight="1" x14ac:dyDescent="0.3">
      <c r="A76" s="1" t="s">
        <v>86</v>
      </c>
      <c r="B76" s="29" t="s">
        <v>87</v>
      </c>
      <c r="C76" s="29" t="s">
        <v>88</v>
      </c>
    </row>
    <row r="77" spans="1:7" ht="15.75" customHeight="1" x14ac:dyDescent="0.35">
      <c r="A77" s="2" t="s">
        <v>202</v>
      </c>
      <c r="B77" s="23">
        <f>B7</f>
        <v>2818.3020869402512</v>
      </c>
      <c r="C77" s="117"/>
      <c r="D77" s="117"/>
      <c r="E77" s="117"/>
      <c r="F77" s="117"/>
      <c r="G77" s="117"/>
    </row>
    <row r="78" spans="1:7" ht="15.75" customHeight="1" x14ac:dyDescent="0.35">
      <c r="A78" s="5" t="s">
        <v>89</v>
      </c>
      <c r="B78" s="6">
        <f>B8</f>
        <v>2218.13</v>
      </c>
      <c r="C78" s="117"/>
      <c r="D78" s="117"/>
      <c r="E78" s="117"/>
      <c r="F78" s="117"/>
      <c r="G78" s="117"/>
    </row>
    <row r="79" spans="1:7" ht="15.75" customHeight="1" x14ac:dyDescent="0.35">
      <c r="A79" s="2" t="s">
        <v>4</v>
      </c>
      <c r="B79" s="23">
        <f>SUM(B77:B78)</f>
        <v>5036.4320869402509</v>
      </c>
      <c r="C79" s="117"/>
      <c r="D79" s="117"/>
      <c r="E79" s="117"/>
      <c r="F79" s="117"/>
      <c r="G79" s="117"/>
    </row>
    <row r="80" spans="1:7" ht="15.75" customHeight="1" x14ac:dyDescent="0.35">
      <c r="A80" s="5" t="s">
        <v>5</v>
      </c>
      <c r="B80" s="16">
        <f>B10</f>
        <v>121659634</v>
      </c>
      <c r="C80" s="117"/>
      <c r="D80" s="117"/>
      <c r="E80" s="117"/>
      <c r="F80" s="117"/>
      <c r="G80" s="117"/>
    </row>
    <row r="81" spans="1:7" ht="15.75" customHeight="1" x14ac:dyDescent="0.35">
      <c r="A81" s="5" t="s">
        <v>90</v>
      </c>
      <c r="B81" s="16">
        <f>B11</f>
        <v>13670211</v>
      </c>
      <c r="C81" s="117" t="s">
        <v>91</v>
      </c>
      <c r="D81" s="117"/>
      <c r="E81" s="117"/>
      <c r="F81" s="117"/>
      <c r="G81" s="117"/>
    </row>
    <row r="82" spans="1:7" ht="15.75" customHeight="1" x14ac:dyDescent="0.35">
      <c r="A82" s="5" t="s">
        <v>92</v>
      </c>
      <c r="B82" s="16">
        <f>B10+MAX(0,(B11*(B7*10^6/B10-B12))/(B7*10^6/B10))</f>
        <v>125711025.2655533</v>
      </c>
      <c r="C82" s="117" t="s">
        <v>203</v>
      </c>
      <c r="D82" s="117"/>
      <c r="E82" s="117"/>
      <c r="F82" s="117"/>
      <c r="G82" s="117"/>
    </row>
    <row r="83" spans="1:7" ht="15.75" customHeight="1" x14ac:dyDescent="0.35">
      <c r="A83" s="5" t="s">
        <v>93</v>
      </c>
      <c r="B83" s="13">
        <f>B72</f>
        <v>7.0313278099082291E-2</v>
      </c>
      <c r="C83" s="117" t="s">
        <v>94</v>
      </c>
      <c r="D83" s="117"/>
      <c r="E83" s="117"/>
      <c r="F83" s="117"/>
      <c r="G83" s="117"/>
    </row>
    <row r="84" spans="1:7" ht="15.75" customHeight="1" x14ac:dyDescent="0.35">
      <c r="A84" s="2" t="s">
        <v>95</v>
      </c>
      <c r="B84" s="24">
        <f>D59</f>
        <v>23.299525583388014</v>
      </c>
      <c r="C84" s="117" t="s">
        <v>96</v>
      </c>
      <c r="D84" s="117"/>
      <c r="E84" s="117"/>
      <c r="F84" s="117"/>
      <c r="G84" s="117"/>
    </row>
    <row r="85" spans="1:7" ht="15.75" customHeight="1" x14ac:dyDescent="0.35">
      <c r="A85" s="25" t="s">
        <v>97</v>
      </c>
      <c r="B85" s="26">
        <f>B84*(1-B72)</f>
        <v>21.661259561466572</v>
      </c>
      <c r="C85" s="117" t="s">
        <v>98</v>
      </c>
      <c r="D85" s="117"/>
      <c r="E85" s="117"/>
      <c r="F85" s="117"/>
      <c r="G85" s="117"/>
    </row>
    <row r="86" spans="1:7" ht="15.75" customHeight="1" x14ac:dyDescent="0.35">
      <c r="A86" s="5" t="s">
        <v>164</v>
      </c>
      <c r="B86" s="9">
        <f>B13</f>
        <v>21.5</v>
      </c>
      <c r="C86" s="117" t="s">
        <v>99</v>
      </c>
      <c r="D86" s="117"/>
      <c r="E86" s="117"/>
      <c r="F86" s="117"/>
      <c r="G86" s="117"/>
    </row>
    <row r="87" spans="1:7" ht="15.75" customHeight="1" x14ac:dyDescent="0.35">
      <c r="A87" s="25" t="s">
        <v>125</v>
      </c>
      <c r="B87" s="26">
        <f>B13-D59*(1-B72)</f>
        <v>-0.16125956146657217</v>
      </c>
      <c r="C87" s="117"/>
      <c r="D87" s="117"/>
      <c r="E87" s="117"/>
      <c r="F87" s="117"/>
      <c r="G87" s="117"/>
    </row>
    <row r="88" spans="1:7" ht="15.75" customHeight="1" x14ac:dyDescent="0.3"/>
    <row r="89" spans="1:7" ht="15.75" customHeight="1" x14ac:dyDescent="0.3">
      <c r="A89" s="120" t="s">
        <v>194</v>
      </c>
      <c r="B89" s="120"/>
      <c r="C89" s="120"/>
      <c r="D89" s="120"/>
      <c r="E89" s="120"/>
      <c r="F89" s="120"/>
      <c r="G89" s="120"/>
    </row>
    <row r="90" spans="1:7" ht="14.4" customHeight="1" x14ac:dyDescent="0.3">
      <c r="A90" s="62" t="s">
        <v>100</v>
      </c>
      <c r="B90" s="121" t="s">
        <v>166</v>
      </c>
      <c r="C90" s="121"/>
      <c r="D90" s="121"/>
      <c r="E90" s="121"/>
      <c r="F90" s="121"/>
      <c r="G90" s="121"/>
    </row>
    <row r="91" spans="1:7" ht="14.4" customHeight="1" x14ac:dyDescent="0.3">
      <c r="A91" s="62" t="s">
        <v>101</v>
      </c>
      <c r="B91" s="121" t="s">
        <v>167</v>
      </c>
      <c r="C91" s="121"/>
      <c r="D91" s="121"/>
      <c r="E91" s="121"/>
      <c r="F91" s="121"/>
      <c r="G91" s="121"/>
    </row>
    <row r="92" spans="1:7" ht="14.4" customHeight="1" x14ac:dyDescent="0.3">
      <c r="A92" s="62" t="s">
        <v>102</v>
      </c>
      <c r="B92" s="121" t="s">
        <v>199</v>
      </c>
      <c r="C92" s="121"/>
      <c r="D92" s="121"/>
      <c r="E92" s="121"/>
      <c r="F92" s="121"/>
      <c r="G92" s="121"/>
    </row>
    <row r="93" spans="1:7" ht="14.4" customHeight="1" x14ac:dyDescent="0.3">
      <c r="A93" s="62" t="s">
        <v>103</v>
      </c>
      <c r="B93" s="121" t="s">
        <v>204</v>
      </c>
      <c r="C93" s="121"/>
      <c r="D93" s="121"/>
      <c r="E93" s="121"/>
      <c r="F93" s="121"/>
      <c r="G93" s="121"/>
    </row>
    <row r="94" spans="1:7" ht="27.75" customHeight="1" x14ac:dyDescent="0.3">
      <c r="A94" s="62" t="s">
        <v>104</v>
      </c>
      <c r="B94" s="121" t="s">
        <v>200</v>
      </c>
      <c r="C94" s="121"/>
      <c r="D94" s="121"/>
      <c r="E94" s="121"/>
      <c r="F94" s="121"/>
      <c r="G94" s="121"/>
    </row>
    <row r="95" spans="1:7" ht="27.75" customHeight="1" x14ac:dyDescent="0.3">
      <c r="A95" s="62" t="s">
        <v>105</v>
      </c>
      <c r="B95" s="121" t="s">
        <v>205</v>
      </c>
      <c r="C95" s="121"/>
      <c r="D95" s="121"/>
      <c r="E95" s="121"/>
      <c r="F95" s="121"/>
      <c r="G95" s="121"/>
    </row>
    <row r="96" spans="1:7" ht="27.75" customHeight="1" x14ac:dyDescent="0.3">
      <c r="A96" s="62" t="s">
        <v>106</v>
      </c>
      <c r="B96" s="121" t="s">
        <v>165</v>
      </c>
      <c r="C96" s="121"/>
      <c r="D96" s="121"/>
      <c r="E96" s="121"/>
      <c r="F96" s="121"/>
      <c r="G96" s="121"/>
    </row>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sheetData>
  <mergeCells count="37">
    <mergeCell ref="B96:G96"/>
    <mergeCell ref="B91:G91"/>
    <mergeCell ref="B92:G92"/>
    <mergeCell ref="B93:G93"/>
    <mergeCell ref="B94:G94"/>
    <mergeCell ref="B95:G95"/>
    <mergeCell ref="C85:G85"/>
    <mergeCell ref="C86:G86"/>
    <mergeCell ref="C87:G87"/>
    <mergeCell ref="A89:G89"/>
    <mergeCell ref="B90:G90"/>
    <mergeCell ref="C80:G80"/>
    <mergeCell ref="C81:G81"/>
    <mergeCell ref="C82:G82"/>
    <mergeCell ref="C83:G83"/>
    <mergeCell ref="C84:G84"/>
    <mergeCell ref="A62:G62"/>
    <mergeCell ref="A75:G75"/>
    <mergeCell ref="C77:G77"/>
    <mergeCell ref="C78:G78"/>
    <mergeCell ref="C79:G79"/>
    <mergeCell ref="A73:G73"/>
    <mergeCell ref="A37:G37"/>
    <mergeCell ref="A38:G38"/>
    <mergeCell ref="A47:G47"/>
    <mergeCell ref="A53:G53"/>
    <mergeCell ref="A61:G61"/>
    <mergeCell ref="A23:G23"/>
    <mergeCell ref="A31:G31"/>
    <mergeCell ref="E33:F33"/>
    <mergeCell ref="E34:F34"/>
    <mergeCell ref="E35:F35"/>
    <mergeCell ref="A1:G1"/>
    <mergeCell ref="A2:G2"/>
    <mergeCell ref="A4:G4"/>
    <mergeCell ref="A16:G16"/>
    <mergeCell ref="A22:G22"/>
  </mergeCells>
  <hyperlinks>
    <hyperlink ref="G10" r:id="rId1" xr:uid="{B6D94A48-EBD7-4A52-A2DA-C07CBA824C2E}"/>
    <hyperlink ref="G11" r:id="rId2" xr:uid="{7020B287-5831-44DB-900B-878282F7B9E3}"/>
  </hyperlinks>
  <pageMargins left="0.75" right="0.75" top="1" bottom="1" header="0.511811023622047" footer="0.511811023622047"/>
  <pageSetup paperSize="9" orientation="portrait" horizontalDpi="300" verticalDpi="300"/>
  <ignoredErrors>
    <ignoredError sqref="B40" numberStoredAsText="1"/>
    <ignoredError sqref="B79"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8844E-BA40-4590-8CD2-362C4667C92F}">
  <dimension ref="B1:U252"/>
  <sheetViews>
    <sheetView showGridLines="0" workbookViewId="0">
      <selection activeCell="R10" sqref="R10"/>
    </sheetView>
  </sheetViews>
  <sheetFormatPr defaultRowHeight="14.4" x14ac:dyDescent="0.35"/>
  <cols>
    <col min="1" max="1" width="8.88671875" style="35"/>
    <col min="2" max="2" width="9.5546875" style="35" bestFit="1" customWidth="1"/>
    <col min="3" max="3" width="8.88671875" style="35" bestFit="1" customWidth="1"/>
    <col min="4" max="4" width="8.88671875" style="35" customWidth="1"/>
    <col min="5" max="5" width="11.109375" style="35" bestFit="1" customWidth="1"/>
    <col min="6" max="6" width="11.109375" style="35" customWidth="1"/>
    <col min="7" max="7" width="10.88671875" style="35" bestFit="1" customWidth="1"/>
    <col min="8" max="8" width="10.88671875" style="35" customWidth="1"/>
    <col min="9" max="9" width="7.6640625" style="35" bestFit="1" customWidth="1"/>
    <col min="10" max="10" width="7.6640625" style="35" customWidth="1"/>
    <col min="11" max="11" width="9" style="35" bestFit="1" customWidth="1"/>
    <col min="12" max="12" width="9" style="35" customWidth="1"/>
    <col min="13" max="13" width="8.88671875" style="35"/>
    <col min="14" max="15" width="12.77734375" style="43" bestFit="1" customWidth="1"/>
    <col min="16" max="16" width="9.21875" style="43" bestFit="1" customWidth="1"/>
    <col min="17" max="18" width="9.21875" style="43" customWidth="1"/>
    <col min="19" max="19" width="8.88671875" style="35"/>
    <col min="20" max="20" width="12.88671875" style="35" bestFit="1" customWidth="1"/>
    <col min="21" max="16384" width="8.88671875" style="35"/>
  </cols>
  <sheetData>
    <row r="1" spans="2:21" x14ac:dyDescent="0.35">
      <c r="N1" s="35"/>
      <c r="O1" s="35"/>
      <c r="P1" s="35"/>
      <c r="Q1" s="35"/>
      <c r="R1" s="35"/>
    </row>
    <row r="2" spans="2:21" ht="15.6" customHeight="1" thickBot="1" x14ac:dyDescent="0.4">
      <c r="B2" s="37" t="s">
        <v>113</v>
      </c>
      <c r="C2" s="130" t="s">
        <v>114</v>
      </c>
      <c r="D2" s="130"/>
      <c r="E2" s="130" t="s">
        <v>115</v>
      </c>
      <c r="F2" s="130"/>
      <c r="G2" s="130" t="s">
        <v>116</v>
      </c>
      <c r="H2" s="130"/>
      <c r="I2" s="130" t="s">
        <v>117</v>
      </c>
      <c r="J2" s="130"/>
      <c r="K2" s="130" t="s">
        <v>118</v>
      </c>
      <c r="L2" s="130"/>
      <c r="N2" s="35"/>
      <c r="O2" s="35"/>
      <c r="P2" s="35"/>
      <c r="Q2" s="35"/>
      <c r="R2" s="35"/>
    </row>
    <row r="3" spans="2:21" ht="15.6" thickTop="1" thickBot="1" x14ac:dyDescent="0.4">
      <c r="B3" s="45" t="s">
        <v>113</v>
      </c>
      <c r="C3" s="46" t="s">
        <v>124</v>
      </c>
      <c r="D3" s="46" t="s">
        <v>125</v>
      </c>
      <c r="E3" s="46" t="s">
        <v>124</v>
      </c>
      <c r="F3" s="46" t="s">
        <v>125</v>
      </c>
      <c r="G3" s="46" t="s">
        <v>124</v>
      </c>
      <c r="H3" s="46" t="s">
        <v>125</v>
      </c>
      <c r="I3" s="46" t="s">
        <v>124</v>
      </c>
      <c r="J3" s="46" t="s">
        <v>125</v>
      </c>
      <c r="K3" s="46" t="s">
        <v>124</v>
      </c>
      <c r="L3" s="46" t="s">
        <v>125</v>
      </c>
      <c r="N3" s="35"/>
      <c r="O3" s="35"/>
      <c r="P3" s="35"/>
      <c r="Q3" s="35"/>
      <c r="R3" s="35"/>
    </row>
    <row r="4" spans="2:21" ht="15" thickBot="1" x14ac:dyDescent="0.4">
      <c r="B4" s="36">
        <v>45379</v>
      </c>
      <c r="C4" s="35">
        <v>12.88</v>
      </c>
      <c r="E4" s="35">
        <v>231.69</v>
      </c>
      <c r="G4" s="35">
        <v>26.91</v>
      </c>
      <c r="I4" s="35">
        <v>8.07</v>
      </c>
      <c r="K4" s="35">
        <v>81.63</v>
      </c>
      <c r="N4" s="53" t="s">
        <v>123</v>
      </c>
      <c r="O4" s="54" t="s">
        <v>119</v>
      </c>
      <c r="P4" s="55" t="s">
        <v>120</v>
      </c>
      <c r="Q4" s="53" t="s">
        <v>168</v>
      </c>
      <c r="R4" s="55" t="s">
        <v>120</v>
      </c>
      <c r="T4" s="38" t="s">
        <v>121</v>
      </c>
      <c r="U4" s="39">
        <v>365</v>
      </c>
    </row>
    <row r="5" spans="2:21" ht="15" thickBot="1" x14ac:dyDescent="0.4">
      <c r="B5" s="36">
        <v>45378</v>
      </c>
      <c r="C5" s="35">
        <v>13</v>
      </c>
      <c r="D5" s="47">
        <f t="shared" ref="D5:J68" si="0">IFERROR(LN(C4/C5),"")</f>
        <v>-9.2736367853291021E-3</v>
      </c>
      <c r="E5" s="35">
        <v>233.39</v>
      </c>
      <c r="F5" s="47">
        <f t="shared" si="0"/>
        <v>-7.3106027838476433E-3</v>
      </c>
      <c r="G5" s="35">
        <v>26.99</v>
      </c>
      <c r="H5" s="47">
        <f t="shared" si="0"/>
        <v>-2.968462291098822E-3</v>
      </c>
      <c r="I5" s="35">
        <v>7.91</v>
      </c>
      <c r="J5" s="47">
        <f t="shared" si="0"/>
        <v>2.002570050229505E-2</v>
      </c>
      <c r="K5" s="35">
        <v>79.72</v>
      </c>
      <c r="L5" s="47">
        <f t="shared" ref="L5:L68" si="1">IFERROR(LN(K4/K5),"")</f>
        <v>2.3676346118670713E-2</v>
      </c>
      <c r="N5" s="49" t="s">
        <v>114</v>
      </c>
      <c r="O5" s="44">
        <f>_xlfn.STDEV.S(D5:D252)</f>
        <v>3.0786414396542144E-2</v>
      </c>
      <c r="P5" s="50">
        <f>O5*$U$5^0.5</f>
        <v>0.48871917751577504</v>
      </c>
      <c r="Q5" s="108">
        <v>1</v>
      </c>
      <c r="R5" s="50">
        <f>IF(Q5=1,P5,"")</f>
        <v>0.48871917751577504</v>
      </c>
      <c r="T5" s="41" t="s">
        <v>122</v>
      </c>
      <c r="U5" s="42">
        <v>252</v>
      </c>
    </row>
    <row r="6" spans="2:21" x14ac:dyDescent="0.35">
      <c r="B6" s="36">
        <v>45377</v>
      </c>
      <c r="C6" s="35">
        <v>13</v>
      </c>
      <c r="D6" s="47">
        <f t="shared" si="0"/>
        <v>0</v>
      </c>
      <c r="E6" s="35">
        <v>232.68</v>
      </c>
      <c r="F6" s="47">
        <f t="shared" si="0"/>
        <v>3.0467549905689711E-3</v>
      </c>
      <c r="G6" s="35">
        <v>26.99</v>
      </c>
      <c r="H6" s="47">
        <f t="shared" si="0"/>
        <v>0</v>
      </c>
      <c r="I6" s="35">
        <v>7.78</v>
      </c>
      <c r="J6" s="47">
        <f t="shared" si="0"/>
        <v>1.6571443589262162E-2</v>
      </c>
      <c r="K6" s="35">
        <v>79.48</v>
      </c>
      <c r="L6" s="47">
        <f t="shared" si="1"/>
        <v>3.0150776609777518E-3</v>
      </c>
      <c r="N6" s="49" t="s">
        <v>115</v>
      </c>
      <c r="O6" s="48">
        <f>_xlfn.STDEV.S(F5:F252)</f>
        <v>2.2155777230250633E-2</v>
      </c>
      <c r="P6" s="50">
        <f t="shared" ref="P6:P9" si="2">O6*$U$5^0.5</f>
        <v>0.35171205992754373</v>
      </c>
      <c r="Q6" s="108">
        <v>1</v>
      </c>
      <c r="R6" s="50">
        <f t="shared" ref="R6:R9" si="3">IF(Q6=1,P6,"")</f>
        <v>0.35171205992754373</v>
      </c>
    </row>
    <row r="7" spans="2:21" x14ac:dyDescent="0.35">
      <c r="B7" s="36">
        <v>45376</v>
      </c>
      <c r="C7" s="35">
        <v>13.06</v>
      </c>
      <c r="D7" s="47">
        <f t="shared" si="0"/>
        <v>-4.6047663867482902E-3</v>
      </c>
      <c r="E7" s="35">
        <v>229.42</v>
      </c>
      <c r="F7" s="47">
        <f t="shared" si="0"/>
        <v>1.4109734189439187E-2</v>
      </c>
      <c r="G7" s="35">
        <v>26.91</v>
      </c>
      <c r="H7" s="47">
        <f t="shared" si="0"/>
        <v>2.9684622910988918E-3</v>
      </c>
      <c r="I7" s="35">
        <v>7.86</v>
      </c>
      <c r="J7" s="47">
        <f t="shared" si="0"/>
        <v>-1.0230268250814922E-2</v>
      </c>
      <c r="K7" s="35">
        <v>79.38</v>
      </c>
      <c r="L7" s="47">
        <f t="shared" si="1"/>
        <v>1.2589703286969641E-3</v>
      </c>
      <c r="N7" s="49" t="s">
        <v>116</v>
      </c>
      <c r="O7" s="48">
        <f>_xlfn.STDEV.S(H5:H252)</f>
        <v>2.9662813290825624E-2</v>
      </c>
      <c r="P7" s="50">
        <f t="shared" si="2"/>
        <v>0.47088256292439634</v>
      </c>
      <c r="Q7" s="108">
        <v>1</v>
      </c>
      <c r="R7" s="50">
        <f t="shared" si="3"/>
        <v>0.47088256292439634</v>
      </c>
    </row>
    <row r="8" spans="2:21" x14ac:dyDescent="0.35">
      <c r="B8" s="36">
        <v>45373</v>
      </c>
      <c r="C8" s="35">
        <v>13</v>
      </c>
      <c r="D8" s="47">
        <f t="shared" si="0"/>
        <v>4.6047663867483388E-3</v>
      </c>
      <c r="E8" s="35">
        <v>230.42</v>
      </c>
      <c r="F8" s="47">
        <f t="shared" si="0"/>
        <v>-4.3493457567858945E-3</v>
      </c>
      <c r="G8" s="35">
        <v>27.64</v>
      </c>
      <c r="H8" s="47">
        <f t="shared" si="0"/>
        <v>-2.6766034160654737E-2</v>
      </c>
      <c r="I8" s="35">
        <v>7.61</v>
      </c>
      <c r="J8" s="47">
        <f t="shared" si="0"/>
        <v>3.2323434567520702E-2</v>
      </c>
      <c r="K8" s="35">
        <v>79.63</v>
      </c>
      <c r="L8" s="47">
        <f t="shared" si="1"/>
        <v>-3.1444589144341921E-3</v>
      </c>
      <c r="N8" s="49" t="s">
        <v>117</v>
      </c>
      <c r="O8" s="48">
        <f>_xlfn.STDEV.S(J5:J252)</f>
        <v>3.4634053623921829E-2</v>
      </c>
      <c r="P8" s="50">
        <f t="shared" si="2"/>
        <v>0.54979855669783506</v>
      </c>
      <c r="Q8" s="108">
        <v>1</v>
      </c>
      <c r="R8" s="50">
        <f t="shared" si="3"/>
        <v>0.54979855669783506</v>
      </c>
    </row>
    <row r="9" spans="2:21" ht="15" thickBot="1" x14ac:dyDescent="0.4">
      <c r="B9" s="36">
        <v>45372</v>
      </c>
      <c r="C9" s="35">
        <v>13.1</v>
      </c>
      <c r="D9" s="47">
        <f t="shared" si="0"/>
        <v>-7.6628727455691371E-3</v>
      </c>
      <c r="E9" s="35">
        <v>231.82</v>
      </c>
      <c r="F9" s="47">
        <f t="shared" si="0"/>
        <v>-6.0574778506915028E-3</v>
      </c>
      <c r="G9" s="35">
        <v>28.02</v>
      </c>
      <c r="H9" s="47">
        <f t="shared" si="0"/>
        <v>-1.3654542009391714E-2</v>
      </c>
      <c r="I9" s="35">
        <v>7.91</v>
      </c>
      <c r="J9" s="47">
        <f t="shared" si="0"/>
        <v>-3.866460990596797E-2</v>
      </c>
      <c r="K9" s="35">
        <v>82.2</v>
      </c>
      <c r="L9" s="47">
        <f t="shared" si="1"/>
        <v>-3.1764395792780786E-2</v>
      </c>
      <c r="N9" s="51" t="s">
        <v>118</v>
      </c>
      <c r="O9" s="52">
        <f>_xlfn.STDEV.S(L5:L252)</f>
        <v>2.1342483893124549E-2</v>
      </c>
      <c r="P9" s="40">
        <f t="shared" si="2"/>
        <v>0.33880142844965511</v>
      </c>
      <c r="Q9" s="108">
        <v>1</v>
      </c>
      <c r="R9" s="50">
        <f t="shared" si="3"/>
        <v>0.33880142844965511</v>
      </c>
    </row>
    <row r="10" spans="2:21" ht="15" thickBot="1" x14ac:dyDescent="0.4">
      <c r="B10" s="36">
        <v>45371</v>
      </c>
      <c r="C10" s="35">
        <v>13.15</v>
      </c>
      <c r="D10" s="47">
        <f t="shared" si="0"/>
        <v>-3.8095284166677302E-3</v>
      </c>
      <c r="E10" s="35">
        <v>230.17</v>
      </c>
      <c r="F10" s="47">
        <f t="shared" si="0"/>
        <v>7.1430421249963462E-3</v>
      </c>
      <c r="G10" s="35">
        <v>28.49</v>
      </c>
      <c r="H10" s="47">
        <f t="shared" si="0"/>
        <v>-1.6634607600955885E-2</v>
      </c>
      <c r="I10" s="35">
        <v>8.02</v>
      </c>
      <c r="J10" s="47">
        <f t="shared" si="0"/>
        <v>-1.3810640098860599E-2</v>
      </c>
      <c r="K10" s="35">
        <v>81.36</v>
      </c>
      <c r="L10" s="47">
        <f t="shared" si="1"/>
        <v>1.0271550321829699E-2</v>
      </c>
      <c r="N10" s="128" t="s">
        <v>126</v>
      </c>
      <c r="O10" s="129"/>
      <c r="P10" s="56">
        <f>AVERAGE(P5:P9)</f>
        <v>0.43998275710304097</v>
      </c>
      <c r="Q10" s="63"/>
      <c r="R10" s="56">
        <f>AVERAGE(R5:R9)</f>
        <v>0.43998275710304097</v>
      </c>
    </row>
    <row r="11" spans="2:21" x14ac:dyDescent="0.35">
      <c r="B11" s="36">
        <v>45370</v>
      </c>
      <c r="C11" s="35">
        <v>13.09</v>
      </c>
      <c r="D11" s="47">
        <f t="shared" si="0"/>
        <v>4.5731787019651412E-3</v>
      </c>
      <c r="E11" s="35">
        <v>229.95</v>
      </c>
      <c r="F11" s="47">
        <f t="shared" si="0"/>
        <v>9.5627234966989697E-4</v>
      </c>
      <c r="G11" s="35">
        <v>28.48</v>
      </c>
      <c r="H11" s="47">
        <f t="shared" si="0"/>
        <v>3.510619660418882E-4</v>
      </c>
      <c r="I11" s="35">
        <v>7.85</v>
      </c>
      <c r="J11" s="47">
        <f t="shared" si="0"/>
        <v>2.1424890084106057E-2</v>
      </c>
      <c r="K11" s="35">
        <v>83.53</v>
      </c>
      <c r="L11" s="47">
        <f t="shared" si="1"/>
        <v>-2.6322097027510441E-2</v>
      </c>
    </row>
    <row r="12" spans="2:21" x14ac:dyDescent="0.35">
      <c r="B12" s="36">
        <v>45369</v>
      </c>
      <c r="C12" s="35">
        <v>13.17</v>
      </c>
      <c r="D12" s="47">
        <f t="shared" si="0"/>
        <v>-6.0929358333810689E-3</v>
      </c>
      <c r="E12" s="35">
        <v>228.43</v>
      </c>
      <c r="F12" s="47">
        <f t="shared" si="0"/>
        <v>6.6320763181545589E-3</v>
      </c>
      <c r="G12" s="35">
        <v>27.88</v>
      </c>
      <c r="H12" s="47">
        <f t="shared" si="0"/>
        <v>2.129250065145185E-2</v>
      </c>
      <c r="I12" s="35">
        <v>8.0500000000000007</v>
      </c>
      <c r="J12" s="47">
        <f t="shared" si="0"/>
        <v>-2.5158559636155101E-2</v>
      </c>
      <c r="K12" s="35">
        <v>82.96</v>
      </c>
      <c r="L12" s="47">
        <f t="shared" si="1"/>
        <v>6.8472848465431961E-3</v>
      </c>
    </row>
    <row r="13" spans="2:21" x14ac:dyDescent="0.35">
      <c r="B13" s="36">
        <v>45366</v>
      </c>
      <c r="C13" s="35">
        <v>13.52</v>
      </c>
      <c r="D13" s="47">
        <f t="shared" si="0"/>
        <v>-2.6228554859628352E-2</v>
      </c>
      <c r="E13" s="35">
        <v>226.98</v>
      </c>
      <c r="F13" s="47">
        <f t="shared" si="0"/>
        <v>6.3679097947853492E-3</v>
      </c>
      <c r="G13" s="35">
        <v>27.88</v>
      </c>
      <c r="H13" s="47">
        <f t="shared" si="0"/>
        <v>0</v>
      </c>
      <c r="I13" s="35">
        <v>7.89</v>
      </c>
      <c r="J13" s="47">
        <f t="shared" si="0"/>
        <v>2.0075956572689225E-2</v>
      </c>
      <c r="K13" s="35">
        <v>81.44</v>
      </c>
      <c r="L13" s="47">
        <f t="shared" si="1"/>
        <v>1.8492011119059161E-2</v>
      </c>
    </row>
    <row r="14" spans="2:21" x14ac:dyDescent="0.35">
      <c r="B14" s="36">
        <v>45365</v>
      </c>
      <c r="C14" s="35">
        <v>13.67</v>
      </c>
      <c r="D14" s="47">
        <f t="shared" si="0"/>
        <v>-1.1033580121040221E-2</v>
      </c>
      <c r="E14" s="35">
        <v>232.47</v>
      </c>
      <c r="F14" s="47">
        <f t="shared" si="0"/>
        <v>-2.3899276570975691E-2</v>
      </c>
      <c r="G14" s="35">
        <v>27.85</v>
      </c>
      <c r="H14" s="47">
        <f t="shared" si="0"/>
        <v>1.076619519029964E-3</v>
      </c>
      <c r="I14" s="35">
        <v>8.09</v>
      </c>
      <c r="J14" s="47">
        <f t="shared" si="0"/>
        <v>-2.5032596212617522E-2</v>
      </c>
      <c r="K14" s="35">
        <v>82.02</v>
      </c>
      <c r="L14" s="47">
        <f t="shared" si="1"/>
        <v>-7.096567161700533E-3</v>
      </c>
    </row>
    <row r="15" spans="2:21" x14ac:dyDescent="0.35">
      <c r="B15" s="36">
        <v>45364</v>
      </c>
      <c r="C15" s="35">
        <v>13.95</v>
      </c>
      <c r="D15" s="47">
        <f t="shared" si="0"/>
        <v>-2.0275857531516433E-2</v>
      </c>
      <c r="E15" s="35">
        <v>234.79</v>
      </c>
      <c r="F15" s="47">
        <f t="shared" si="0"/>
        <v>-9.9303131651976018E-3</v>
      </c>
      <c r="G15" s="35">
        <v>27.9</v>
      </c>
      <c r="H15" s="47">
        <f t="shared" si="0"/>
        <v>-1.7937224540267663E-3</v>
      </c>
      <c r="I15" s="35">
        <v>8.1850000000000005</v>
      </c>
      <c r="J15" s="47">
        <f t="shared" si="0"/>
        <v>-1.1674479752697935E-2</v>
      </c>
      <c r="K15" s="35">
        <v>82.71</v>
      </c>
      <c r="L15" s="47">
        <f t="shared" si="1"/>
        <v>-8.3773937399018259E-3</v>
      </c>
    </row>
    <row r="16" spans="2:21" x14ac:dyDescent="0.35">
      <c r="B16" s="36">
        <v>45363</v>
      </c>
      <c r="C16" s="35">
        <v>14.04</v>
      </c>
      <c r="D16" s="47">
        <f t="shared" si="0"/>
        <v>-6.4308903302904025E-3</v>
      </c>
      <c r="E16" s="35">
        <v>231.05</v>
      </c>
      <c r="F16" s="47">
        <f t="shared" si="0"/>
        <v>1.6057360292890604E-2</v>
      </c>
      <c r="G16" s="35">
        <v>27.66</v>
      </c>
      <c r="H16" s="47">
        <f t="shared" si="0"/>
        <v>8.6393625907076402E-3</v>
      </c>
      <c r="I16" s="35">
        <v>8.2200000000000006</v>
      </c>
      <c r="J16" s="47">
        <f t="shared" si="0"/>
        <v>-4.2669982449902895E-3</v>
      </c>
      <c r="K16" s="35">
        <v>82.14</v>
      </c>
      <c r="L16" s="47">
        <f t="shared" si="1"/>
        <v>6.9154051754024125E-3</v>
      </c>
    </row>
    <row r="17" spans="2:12" x14ac:dyDescent="0.35">
      <c r="B17" s="36">
        <v>45362</v>
      </c>
      <c r="C17" s="35">
        <v>14.04</v>
      </c>
      <c r="D17" s="47">
        <f t="shared" si="0"/>
        <v>0</v>
      </c>
      <c r="E17" s="35">
        <v>227.75</v>
      </c>
      <c r="F17" s="47">
        <f t="shared" si="0"/>
        <v>1.4385601176207732E-2</v>
      </c>
      <c r="G17" s="35">
        <v>27.7</v>
      </c>
      <c r="H17" s="47">
        <f t="shared" si="0"/>
        <v>-1.4450869566806853E-3</v>
      </c>
      <c r="I17" s="35">
        <v>8.3699999999999992</v>
      </c>
      <c r="J17" s="47">
        <f t="shared" si="0"/>
        <v>-1.8083675433295237E-2</v>
      </c>
      <c r="K17" s="35">
        <v>81.96</v>
      </c>
      <c r="L17" s="47">
        <f t="shared" si="1"/>
        <v>2.1937851577136127E-3</v>
      </c>
    </row>
    <row r="18" spans="2:12" x14ac:dyDescent="0.35">
      <c r="B18" s="36">
        <v>45359</v>
      </c>
      <c r="C18" s="35">
        <v>13.88</v>
      </c>
      <c r="D18" s="47">
        <f t="shared" si="0"/>
        <v>1.1461443519006598E-2</v>
      </c>
      <c r="E18" s="35">
        <v>227.79</v>
      </c>
      <c r="F18" s="47">
        <f t="shared" si="0"/>
        <v>-1.7561575318434489E-4</v>
      </c>
      <c r="G18" s="35">
        <v>27.91</v>
      </c>
      <c r="H18" s="47">
        <f t="shared" si="0"/>
        <v>-7.5526343549380693E-3</v>
      </c>
      <c r="I18" s="35">
        <v>8.48</v>
      </c>
      <c r="J18" s="47">
        <f t="shared" si="0"/>
        <v>-1.3056565302427848E-2</v>
      </c>
      <c r="K18" s="35">
        <v>81.09</v>
      </c>
      <c r="L18" s="47">
        <f t="shared" si="1"/>
        <v>1.0671674414232906E-2</v>
      </c>
    </row>
    <row r="19" spans="2:12" x14ac:dyDescent="0.35">
      <c r="B19" s="36">
        <v>45358</v>
      </c>
      <c r="C19" s="35">
        <v>14.19</v>
      </c>
      <c r="D19" s="47">
        <f t="shared" si="0"/>
        <v>-2.2088536093292723E-2</v>
      </c>
      <c r="E19" s="35">
        <v>230.17</v>
      </c>
      <c r="F19" s="47">
        <f t="shared" si="0"/>
        <v>-1.0394014442350588E-2</v>
      </c>
      <c r="G19" s="35">
        <v>28.69</v>
      </c>
      <c r="H19" s="47">
        <f t="shared" si="0"/>
        <v>-2.7563582445042634E-2</v>
      </c>
      <c r="I19" s="35">
        <v>8.3800000000000008</v>
      </c>
      <c r="J19" s="47">
        <f t="shared" si="0"/>
        <v>1.1862535309819948E-2</v>
      </c>
      <c r="K19" s="35">
        <v>80.319999999999993</v>
      </c>
      <c r="L19" s="47">
        <f t="shared" si="1"/>
        <v>9.5409930130470472E-3</v>
      </c>
    </row>
    <row r="20" spans="2:12" x14ac:dyDescent="0.35">
      <c r="B20" s="36">
        <v>45357</v>
      </c>
      <c r="C20" s="35">
        <v>13.93</v>
      </c>
      <c r="D20" s="47">
        <f t="shared" si="0"/>
        <v>1.8492703380236977E-2</v>
      </c>
      <c r="E20" s="35">
        <v>224.56</v>
      </c>
      <c r="F20" s="47">
        <f t="shared" si="0"/>
        <v>2.467523428197551E-2</v>
      </c>
      <c r="G20" s="35">
        <v>28.11</v>
      </c>
      <c r="H20" s="47">
        <f t="shared" si="0"/>
        <v>2.0423245074833021E-2</v>
      </c>
      <c r="I20" s="35">
        <v>8.14</v>
      </c>
      <c r="J20" s="47">
        <f t="shared" si="0"/>
        <v>2.9057734479542765E-2</v>
      </c>
      <c r="K20" s="35">
        <v>80.55</v>
      </c>
      <c r="L20" s="47">
        <f t="shared" si="1"/>
        <v>-2.8594536795643727E-3</v>
      </c>
    </row>
    <row r="21" spans="2:12" x14ac:dyDescent="0.35">
      <c r="B21" s="36">
        <v>45356</v>
      </c>
      <c r="C21" s="35">
        <v>13.97</v>
      </c>
      <c r="D21" s="47">
        <f t="shared" si="0"/>
        <v>-2.8673854771562026E-3</v>
      </c>
      <c r="E21" s="35">
        <v>221.64</v>
      </c>
      <c r="F21" s="47">
        <f t="shared" si="0"/>
        <v>1.3088488054478317E-2</v>
      </c>
      <c r="G21" s="35">
        <v>27.74</v>
      </c>
      <c r="H21" s="47">
        <f t="shared" si="0"/>
        <v>1.3249970031754953E-2</v>
      </c>
      <c r="I21" s="35">
        <v>8.35</v>
      </c>
      <c r="J21" s="47">
        <f t="shared" si="0"/>
        <v>-2.5471358848315067E-2</v>
      </c>
      <c r="K21" s="35">
        <v>81.05</v>
      </c>
      <c r="L21" s="47">
        <f t="shared" si="1"/>
        <v>-6.1881385587017595E-3</v>
      </c>
    </row>
    <row r="22" spans="2:12" x14ac:dyDescent="0.35">
      <c r="B22" s="36">
        <v>45355</v>
      </c>
      <c r="C22" s="35">
        <v>13.99</v>
      </c>
      <c r="D22" s="47">
        <f t="shared" si="0"/>
        <v>-1.4306154085193335E-3</v>
      </c>
      <c r="E22" s="35">
        <v>226</v>
      </c>
      <c r="F22" s="47">
        <f t="shared" si="0"/>
        <v>-1.9480555273136985E-2</v>
      </c>
      <c r="G22" s="35">
        <v>28.63</v>
      </c>
      <c r="H22" s="47">
        <f t="shared" si="0"/>
        <v>-3.1579704223338126E-2</v>
      </c>
      <c r="I22" s="35">
        <v>8.92</v>
      </c>
      <c r="J22" s="47">
        <f t="shared" si="0"/>
        <v>-6.6034407729153921E-2</v>
      </c>
      <c r="K22" s="35">
        <v>82.38</v>
      </c>
      <c r="L22" s="47">
        <f t="shared" si="1"/>
        <v>-1.6276440826249537E-2</v>
      </c>
    </row>
    <row r="23" spans="2:12" x14ac:dyDescent="0.35">
      <c r="B23" s="36">
        <v>45352</v>
      </c>
      <c r="C23" s="35">
        <v>14</v>
      </c>
      <c r="D23" s="47">
        <f t="shared" si="0"/>
        <v>-7.1454093786876014E-4</v>
      </c>
      <c r="E23" s="35">
        <v>222.01</v>
      </c>
      <c r="F23" s="47">
        <f t="shared" si="0"/>
        <v>1.7812573369458962E-2</v>
      </c>
      <c r="G23" s="35">
        <v>28.05</v>
      </c>
      <c r="H23" s="47">
        <f t="shared" si="0"/>
        <v>2.0466487141318209E-2</v>
      </c>
      <c r="I23" s="35">
        <v>8.9700000000000006</v>
      </c>
      <c r="J23" s="47">
        <f t="shared" si="0"/>
        <v>-5.589729478786774E-3</v>
      </c>
      <c r="K23" s="35">
        <v>81.05</v>
      </c>
      <c r="L23" s="47">
        <f t="shared" si="1"/>
        <v>1.6276440826249482E-2</v>
      </c>
    </row>
    <row r="24" spans="2:12" x14ac:dyDescent="0.35">
      <c r="B24" s="36">
        <v>45351</v>
      </c>
      <c r="C24" s="35">
        <v>14.05</v>
      </c>
      <c r="D24" s="47">
        <f t="shared" si="0"/>
        <v>-3.5650661644962569E-3</v>
      </c>
      <c r="E24" s="35">
        <v>225.51</v>
      </c>
      <c r="F24" s="47">
        <f t="shared" si="0"/>
        <v>-1.5642077954660334E-2</v>
      </c>
      <c r="G24" s="35">
        <v>28.23</v>
      </c>
      <c r="H24" s="47">
        <f t="shared" si="0"/>
        <v>-6.3966102966926432E-3</v>
      </c>
      <c r="I24" s="35">
        <v>9.52</v>
      </c>
      <c r="J24" s="47">
        <f t="shared" si="0"/>
        <v>-5.9509172732569095E-2</v>
      </c>
      <c r="K24" s="35">
        <v>82.61</v>
      </c>
      <c r="L24" s="47">
        <f t="shared" si="1"/>
        <v>-1.9064490392728829E-2</v>
      </c>
    </row>
    <row r="25" spans="2:12" x14ac:dyDescent="0.35">
      <c r="B25" s="36">
        <v>45350</v>
      </c>
      <c r="C25" s="35">
        <v>14.39</v>
      </c>
      <c r="D25" s="47">
        <f t="shared" si="0"/>
        <v>-2.3911125119521714E-2</v>
      </c>
      <c r="E25" s="35">
        <v>225.37</v>
      </c>
      <c r="F25" s="47">
        <f t="shared" si="0"/>
        <v>6.2100782691297345E-4</v>
      </c>
      <c r="G25" s="35">
        <v>27.94</v>
      </c>
      <c r="H25" s="47">
        <f t="shared" si="0"/>
        <v>1.0325888436582081E-2</v>
      </c>
      <c r="I25" s="35">
        <v>9.1999999999999993</v>
      </c>
      <c r="J25" s="47">
        <f t="shared" si="0"/>
        <v>3.4191364748279343E-2</v>
      </c>
      <c r="K25" s="35">
        <v>83</v>
      </c>
      <c r="L25" s="47">
        <f t="shared" si="1"/>
        <v>-4.7098692221840266E-3</v>
      </c>
    </row>
    <row r="26" spans="2:12" x14ac:dyDescent="0.35">
      <c r="B26" s="36">
        <v>45349</v>
      </c>
      <c r="C26" s="35">
        <v>14.58</v>
      </c>
      <c r="D26" s="47">
        <f t="shared" si="0"/>
        <v>-1.3117205681235563E-2</v>
      </c>
      <c r="E26" s="35">
        <v>222.92</v>
      </c>
      <c r="F26" s="47">
        <f t="shared" si="0"/>
        <v>1.0930533329238615E-2</v>
      </c>
      <c r="G26" s="35">
        <v>28.66</v>
      </c>
      <c r="H26" s="47">
        <f t="shared" si="0"/>
        <v>-2.5443068571209981E-2</v>
      </c>
      <c r="I26" s="35">
        <v>9.31</v>
      </c>
      <c r="J26" s="47">
        <f t="shared" si="0"/>
        <v>-1.1885607233981197E-2</v>
      </c>
      <c r="K26" s="35">
        <v>83.42</v>
      </c>
      <c r="L26" s="47">
        <f t="shared" si="1"/>
        <v>-5.0474809722013307E-3</v>
      </c>
    </row>
    <row r="27" spans="2:12" x14ac:dyDescent="0.35">
      <c r="B27" s="36">
        <v>45348</v>
      </c>
      <c r="C27" s="35">
        <v>13.89</v>
      </c>
      <c r="D27" s="47">
        <f t="shared" si="0"/>
        <v>4.8481569814259655E-2</v>
      </c>
      <c r="E27" s="35">
        <v>224</v>
      </c>
      <c r="F27" s="47">
        <f t="shared" si="0"/>
        <v>-4.8330891537043171E-3</v>
      </c>
      <c r="G27" s="35">
        <v>27.99</v>
      </c>
      <c r="H27" s="47">
        <f t="shared" si="0"/>
        <v>2.3655118872663795E-2</v>
      </c>
      <c r="I27" s="35">
        <v>9.15</v>
      </c>
      <c r="J27" s="47">
        <f t="shared" si="0"/>
        <v>1.7335212001545686E-2</v>
      </c>
      <c r="K27" s="35">
        <v>83.5</v>
      </c>
      <c r="L27" s="47">
        <f t="shared" si="1"/>
        <v>-9.5854308801059172E-4</v>
      </c>
    </row>
    <row r="28" spans="2:12" x14ac:dyDescent="0.35">
      <c r="B28" s="36">
        <v>45345</v>
      </c>
      <c r="C28" s="35">
        <v>11.1</v>
      </c>
      <c r="D28" s="47">
        <f t="shared" si="0"/>
        <v>0.22422404844796404</v>
      </c>
      <c r="E28" s="35">
        <v>221.64</v>
      </c>
      <c r="F28" s="47">
        <f t="shared" si="0"/>
        <v>1.05916078558911E-2</v>
      </c>
      <c r="G28" s="35">
        <v>28.29</v>
      </c>
      <c r="H28" s="47">
        <f t="shared" si="0"/>
        <v>-1.0661081786113703E-2</v>
      </c>
      <c r="I28" s="35">
        <v>9.16</v>
      </c>
      <c r="J28" s="47">
        <f t="shared" si="0"/>
        <v>-1.0922993986089273E-3</v>
      </c>
      <c r="K28" s="35">
        <v>82.23</v>
      </c>
      <c r="L28" s="47">
        <f t="shared" si="1"/>
        <v>1.5326432874005615E-2</v>
      </c>
    </row>
    <row r="29" spans="2:12" x14ac:dyDescent="0.35">
      <c r="B29" s="36">
        <v>45344</v>
      </c>
      <c r="C29" s="35">
        <v>11.14</v>
      </c>
      <c r="D29" s="47">
        <f t="shared" si="0"/>
        <v>-3.5971261808495918E-3</v>
      </c>
      <c r="E29" s="35">
        <v>222.17</v>
      </c>
      <c r="F29" s="47">
        <f t="shared" si="0"/>
        <v>-2.3884105898873235E-3</v>
      </c>
      <c r="G29" s="35">
        <v>29.01</v>
      </c>
      <c r="H29" s="47">
        <f t="shared" si="0"/>
        <v>-2.5132212819836866E-2</v>
      </c>
      <c r="I29" s="35">
        <v>9.25</v>
      </c>
      <c r="J29" s="47">
        <f t="shared" si="0"/>
        <v>-9.7773728382949381E-3</v>
      </c>
      <c r="K29" s="35">
        <v>82.26</v>
      </c>
      <c r="L29" s="47">
        <f t="shared" si="1"/>
        <v>-3.6476381947394009E-4</v>
      </c>
    </row>
    <row r="30" spans="2:12" x14ac:dyDescent="0.35">
      <c r="B30" s="36">
        <v>45343</v>
      </c>
      <c r="C30" s="35">
        <v>10.68</v>
      </c>
      <c r="D30" s="47">
        <f t="shared" si="0"/>
        <v>4.2169400967089175E-2</v>
      </c>
      <c r="E30" s="35">
        <v>216.37</v>
      </c>
      <c r="F30" s="47">
        <f t="shared" si="0"/>
        <v>2.6452949389697843E-2</v>
      </c>
      <c r="G30" s="35">
        <v>29.02</v>
      </c>
      <c r="H30" s="47">
        <f t="shared" si="0"/>
        <v>-3.4464932272903256E-4</v>
      </c>
      <c r="I30" s="35">
        <v>9.2200000000000006</v>
      </c>
      <c r="J30" s="47">
        <f t="shared" si="0"/>
        <v>3.2485139558313084E-3</v>
      </c>
      <c r="K30" s="35">
        <v>80.069999999999993</v>
      </c>
      <c r="L30" s="47">
        <f t="shared" si="1"/>
        <v>2.6983710717735695E-2</v>
      </c>
    </row>
    <row r="31" spans="2:12" x14ac:dyDescent="0.35">
      <c r="B31" s="36">
        <v>45342</v>
      </c>
      <c r="C31" s="35">
        <v>10.77</v>
      </c>
      <c r="D31" s="47">
        <f t="shared" si="0"/>
        <v>-8.3916576362484015E-3</v>
      </c>
      <c r="E31" s="35">
        <v>218.76</v>
      </c>
      <c r="F31" s="47">
        <f t="shared" si="0"/>
        <v>-1.0985333279233697E-2</v>
      </c>
      <c r="G31" s="35">
        <v>29.4</v>
      </c>
      <c r="H31" s="47">
        <f t="shared" si="0"/>
        <v>-1.3009426888594109E-2</v>
      </c>
      <c r="I31" s="35">
        <v>9.7200000000000006</v>
      </c>
      <c r="J31" s="47">
        <f t="shared" si="0"/>
        <v>-5.2810580903845293E-2</v>
      </c>
      <c r="K31" s="35">
        <v>81.33</v>
      </c>
      <c r="L31" s="47">
        <f t="shared" si="1"/>
        <v>-1.5613700094141508E-2</v>
      </c>
    </row>
    <row r="32" spans="2:12" x14ac:dyDescent="0.35">
      <c r="B32" s="36">
        <v>45338</v>
      </c>
      <c r="C32" s="35">
        <v>10.87</v>
      </c>
      <c r="D32" s="47">
        <f t="shared" si="0"/>
        <v>-9.2422099648208737E-3</v>
      </c>
      <c r="E32" s="35">
        <v>219.35</v>
      </c>
      <c r="F32" s="47">
        <f t="shared" si="0"/>
        <v>-2.6933891336510416E-3</v>
      </c>
      <c r="G32" s="35">
        <v>30.33</v>
      </c>
      <c r="H32" s="47">
        <f t="shared" si="0"/>
        <v>-3.1142647355853835E-2</v>
      </c>
      <c r="I32" s="35">
        <v>9.99</v>
      </c>
      <c r="J32" s="47">
        <f t="shared" si="0"/>
        <v>-2.7398974188114388E-2</v>
      </c>
      <c r="K32" s="35">
        <v>81.290000000000006</v>
      </c>
      <c r="L32" s="47">
        <f t="shared" si="1"/>
        <v>4.9194442020279055E-4</v>
      </c>
    </row>
    <row r="33" spans="2:12" x14ac:dyDescent="0.35">
      <c r="B33" s="36">
        <v>45337</v>
      </c>
      <c r="C33" s="35">
        <v>11.17</v>
      </c>
      <c r="D33" s="47">
        <f t="shared" si="0"/>
        <v>-2.7224911947991284E-2</v>
      </c>
      <c r="E33" s="35">
        <v>223.56</v>
      </c>
      <c r="F33" s="47">
        <f t="shared" si="0"/>
        <v>-1.9011206789274426E-2</v>
      </c>
      <c r="G33" s="35">
        <v>30.34</v>
      </c>
      <c r="H33" s="47">
        <f t="shared" si="0"/>
        <v>-3.2965221989646865E-4</v>
      </c>
      <c r="I33" s="35">
        <v>10.26</v>
      </c>
      <c r="J33" s="47">
        <f t="shared" si="0"/>
        <v>-2.6668247082161294E-2</v>
      </c>
      <c r="K33" s="35">
        <v>81.63</v>
      </c>
      <c r="L33" s="47">
        <f t="shared" si="1"/>
        <v>-4.1738337047835736E-3</v>
      </c>
    </row>
    <row r="34" spans="2:12" x14ac:dyDescent="0.35">
      <c r="B34" s="36">
        <v>45336</v>
      </c>
      <c r="C34" s="35">
        <v>10.99</v>
      </c>
      <c r="D34" s="47">
        <f t="shared" si="0"/>
        <v>1.6245844665579375E-2</v>
      </c>
      <c r="E34" s="35">
        <v>220.67</v>
      </c>
      <c r="F34" s="47">
        <f t="shared" si="0"/>
        <v>1.3011461506508304E-2</v>
      </c>
      <c r="G34" s="35">
        <v>29.4</v>
      </c>
      <c r="H34" s="47">
        <f t="shared" si="0"/>
        <v>3.1472299575750276E-2</v>
      </c>
      <c r="I34" s="35">
        <v>9.61</v>
      </c>
      <c r="J34" s="47">
        <f t="shared" si="0"/>
        <v>6.5448616760422323E-2</v>
      </c>
      <c r="K34" s="35">
        <v>80.33</v>
      </c>
      <c r="L34" s="47">
        <f t="shared" si="1"/>
        <v>1.6053691277543459E-2</v>
      </c>
    </row>
    <row r="35" spans="2:12" x14ac:dyDescent="0.35">
      <c r="B35" s="36">
        <v>45335</v>
      </c>
      <c r="C35" s="35">
        <v>10.54</v>
      </c>
      <c r="D35" s="47">
        <f t="shared" si="0"/>
        <v>4.1808225302313755E-2</v>
      </c>
      <c r="E35" s="35">
        <v>213.93</v>
      </c>
      <c r="F35" s="47">
        <f t="shared" si="0"/>
        <v>3.1019514186667298E-2</v>
      </c>
      <c r="G35" s="35">
        <v>29.02</v>
      </c>
      <c r="H35" s="47">
        <f t="shared" si="0"/>
        <v>1.30094268885941E-2</v>
      </c>
      <c r="I35" s="35">
        <v>9.19</v>
      </c>
      <c r="J35" s="47">
        <f t="shared" si="0"/>
        <v>4.4688286614605492E-2</v>
      </c>
      <c r="K35" s="35">
        <v>79.53</v>
      </c>
      <c r="L35" s="47">
        <f t="shared" si="1"/>
        <v>1.0008841216677241E-2</v>
      </c>
    </row>
    <row r="36" spans="2:12" x14ac:dyDescent="0.35">
      <c r="B36" s="36">
        <v>45334</v>
      </c>
      <c r="C36" s="35">
        <v>10.89</v>
      </c>
      <c r="D36" s="47">
        <f t="shared" si="0"/>
        <v>-3.266739383165302E-2</v>
      </c>
      <c r="E36" s="35">
        <v>218.46</v>
      </c>
      <c r="F36" s="47">
        <f t="shared" si="0"/>
        <v>-2.0954072707075173E-2</v>
      </c>
      <c r="G36" s="35">
        <v>30.46</v>
      </c>
      <c r="H36" s="47">
        <f t="shared" si="0"/>
        <v>-4.8429100010973988E-2</v>
      </c>
      <c r="I36" s="35">
        <v>9.6199999999999992</v>
      </c>
      <c r="J36" s="47">
        <f t="shared" si="0"/>
        <v>-4.5728328310019356E-2</v>
      </c>
      <c r="K36" s="35">
        <v>80.430000000000007</v>
      </c>
      <c r="L36" s="47">
        <f t="shared" si="1"/>
        <v>-1.1252931946933812E-2</v>
      </c>
    </row>
    <row r="37" spans="2:12" x14ac:dyDescent="0.35">
      <c r="B37" s="36">
        <v>45331</v>
      </c>
      <c r="C37" s="35">
        <v>10.45</v>
      </c>
      <c r="D37" s="47">
        <f t="shared" si="0"/>
        <v>4.1242958534049218E-2</v>
      </c>
      <c r="E37" s="35">
        <v>216.76</v>
      </c>
      <c r="F37" s="47">
        <f t="shared" si="0"/>
        <v>7.8121807174836118E-3</v>
      </c>
      <c r="G37" s="35">
        <v>28.59</v>
      </c>
      <c r="H37" s="47">
        <f t="shared" si="0"/>
        <v>6.3357341132795286E-2</v>
      </c>
      <c r="I37" s="35">
        <v>9.34</v>
      </c>
      <c r="J37" s="47">
        <f t="shared" si="0"/>
        <v>2.9538012436863874E-2</v>
      </c>
      <c r="K37" s="35">
        <v>79.61</v>
      </c>
      <c r="L37" s="47">
        <f t="shared" si="1"/>
        <v>1.0247527815490985E-2</v>
      </c>
    </row>
    <row r="38" spans="2:12" x14ac:dyDescent="0.35">
      <c r="B38" s="36">
        <v>45330</v>
      </c>
      <c r="C38" s="35">
        <v>10.57</v>
      </c>
      <c r="D38" s="47">
        <f t="shared" si="0"/>
        <v>-1.1417821471326379E-2</v>
      </c>
      <c r="E38" s="35">
        <v>215.39</v>
      </c>
      <c r="F38" s="47">
        <f t="shared" si="0"/>
        <v>6.3404123086496407E-3</v>
      </c>
      <c r="G38" s="35">
        <v>28.24</v>
      </c>
      <c r="H38" s="47">
        <f t="shared" si="0"/>
        <v>1.2317593709179146E-2</v>
      </c>
      <c r="I38" s="35">
        <v>9.06</v>
      </c>
      <c r="J38" s="47">
        <f t="shared" si="0"/>
        <v>3.043713218586323E-2</v>
      </c>
      <c r="K38" s="35">
        <v>78.069999999999993</v>
      </c>
      <c r="L38" s="47">
        <f t="shared" si="1"/>
        <v>1.9533852968287232E-2</v>
      </c>
    </row>
    <row r="39" spans="2:12" x14ac:dyDescent="0.35">
      <c r="B39" s="36">
        <v>45329</v>
      </c>
      <c r="C39" s="35">
        <v>10.37</v>
      </c>
      <c r="D39" s="47">
        <f t="shared" si="0"/>
        <v>1.9102777640710441E-2</v>
      </c>
      <c r="E39" s="35">
        <v>214.56</v>
      </c>
      <c r="F39" s="47">
        <f t="shared" si="0"/>
        <v>3.8609188558951894E-3</v>
      </c>
      <c r="G39" s="35">
        <v>27.4</v>
      </c>
      <c r="H39" s="47">
        <f t="shared" si="0"/>
        <v>3.0196399231016687E-2</v>
      </c>
      <c r="I39" s="35">
        <v>8.58</v>
      </c>
      <c r="J39" s="47">
        <f t="shared" si="0"/>
        <v>5.443520655501715E-2</v>
      </c>
      <c r="K39" s="35">
        <v>77.39</v>
      </c>
      <c r="L39" s="47">
        <f t="shared" si="1"/>
        <v>8.748286849831732E-3</v>
      </c>
    </row>
    <row r="40" spans="2:12" x14ac:dyDescent="0.35">
      <c r="B40" s="36">
        <v>45328</v>
      </c>
      <c r="C40" s="35">
        <v>10.35</v>
      </c>
      <c r="D40" s="47">
        <f t="shared" si="0"/>
        <v>1.930502530057845E-3</v>
      </c>
      <c r="E40" s="35">
        <v>209.33</v>
      </c>
      <c r="F40" s="47">
        <f t="shared" si="0"/>
        <v>2.4677465426939656E-2</v>
      </c>
      <c r="G40" s="35">
        <v>27.45</v>
      </c>
      <c r="H40" s="47">
        <f t="shared" si="0"/>
        <v>-1.8231545615151365E-3</v>
      </c>
      <c r="I40" s="35">
        <v>8.7100000000000009</v>
      </c>
      <c r="J40" s="47">
        <f t="shared" si="0"/>
        <v>-1.5037877364540559E-2</v>
      </c>
      <c r="K40" s="35">
        <v>76.900000000000006</v>
      </c>
      <c r="L40" s="47">
        <f t="shared" si="1"/>
        <v>6.3516967707693663E-3</v>
      </c>
    </row>
    <row r="41" spans="2:12" x14ac:dyDescent="0.35">
      <c r="B41" s="36">
        <v>45327</v>
      </c>
      <c r="C41" s="35">
        <v>10.51</v>
      </c>
      <c r="D41" s="47">
        <f t="shared" si="0"/>
        <v>-1.5340665177481652E-2</v>
      </c>
      <c r="E41" s="35">
        <v>204.24</v>
      </c>
      <c r="F41" s="47">
        <f t="shared" si="0"/>
        <v>2.4616181173200205E-2</v>
      </c>
      <c r="G41" s="35">
        <v>27.25</v>
      </c>
      <c r="H41" s="47">
        <f t="shared" si="0"/>
        <v>7.3126468462865572E-3</v>
      </c>
      <c r="I41" s="35">
        <v>8.3000000000000007</v>
      </c>
      <c r="J41" s="47">
        <f t="shared" si="0"/>
        <v>4.8216276061859263E-2</v>
      </c>
      <c r="K41" s="35">
        <v>76.94</v>
      </c>
      <c r="L41" s="47">
        <f t="shared" si="1"/>
        <v>-5.2002081255067296E-4</v>
      </c>
    </row>
    <row r="42" spans="2:12" x14ac:dyDescent="0.35">
      <c r="B42" s="36">
        <v>45324</v>
      </c>
      <c r="C42" s="35">
        <v>10.79</v>
      </c>
      <c r="D42" s="47">
        <f t="shared" si="0"/>
        <v>-2.6292594381183497E-2</v>
      </c>
      <c r="E42" s="35">
        <v>206.8</v>
      </c>
      <c r="F42" s="47">
        <f t="shared" si="0"/>
        <v>-1.2456369701045666E-2</v>
      </c>
      <c r="G42" s="35">
        <v>27.49</v>
      </c>
      <c r="H42" s="47">
        <f t="shared" si="0"/>
        <v>-8.7687810679012521E-3</v>
      </c>
      <c r="I42" s="35">
        <v>8.61</v>
      </c>
      <c r="J42" s="47">
        <f t="shared" si="0"/>
        <v>-3.6668803637087001E-2</v>
      </c>
      <c r="K42" s="35">
        <v>77.33</v>
      </c>
      <c r="L42" s="47">
        <f t="shared" si="1"/>
        <v>-5.0560812967950734E-3</v>
      </c>
    </row>
    <row r="43" spans="2:12" x14ac:dyDescent="0.35">
      <c r="B43" s="36">
        <v>45323</v>
      </c>
      <c r="C43" s="35">
        <v>10.75</v>
      </c>
      <c r="D43" s="47">
        <f t="shared" si="0"/>
        <v>3.7140246963713874E-3</v>
      </c>
      <c r="E43" s="35">
        <v>203.99</v>
      </c>
      <c r="F43" s="47">
        <f t="shared" si="0"/>
        <v>1.3681169599401136E-2</v>
      </c>
      <c r="G43" s="35">
        <v>27.5</v>
      </c>
      <c r="H43" s="47">
        <f t="shared" si="0"/>
        <v>-3.6370249537135579E-4</v>
      </c>
      <c r="I43" s="35">
        <v>8.59</v>
      </c>
      <c r="J43" s="47">
        <f t="shared" si="0"/>
        <v>2.3255824434754366E-3</v>
      </c>
      <c r="K43" s="35">
        <v>75.62</v>
      </c>
      <c r="L43" s="47">
        <f t="shared" si="1"/>
        <v>2.2361180158157107E-2</v>
      </c>
    </row>
    <row r="44" spans="2:12" x14ac:dyDescent="0.35">
      <c r="B44" s="36">
        <v>45322</v>
      </c>
      <c r="C44" s="35">
        <v>10.24</v>
      </c>
      <c r="D44" s="47">
        <f t="shared" si="0"/>
        <v>4.8604134962310079E-2</v>
      </c>
      <c r="E44" s="35">
        <v>207.41</v>
      </c>
      <c r="F44" s="47">
        <f t="shared" si="0"/>
        <v>-1.6626537605914062E-2</v>
      </c>
      <c r="G44" s="35">
        <v>26.95</v>
      </c>
      <c r="H44" s="47">
        <f t="shared" si="0"/>
        <v>2.0202707317519469E-2</v>
      </c>
      <c r="I44" s="35">
        <v>8.5</v>
      </c>
      <c r="J44" s="47">
        <f t="shared" si="0"/>
        <v>1.0532572499893152E-2</v>
      </c>
      <c r="K44" s="35">
        <v>75.58</v>
      </c>
      <c r="L44" s="47">
        <f t="shared" si="1"/>
        <v>5.2910054144393039E-4</v>
      </c>
    </row>
    <row r="45" spans="2:12" x14ac:dyDescent="0.35">
      <c r="B45" s="36">
        <v>45321</v>
      </c>
      <c r="C45" s="35">
        <v>10.199999999999999</v>
      </c>
      <c r="D45" s="47">
        <f t="shared" si="0"/>
        <v>3.9138993211363148E-3</v>
      </c>
      <c r="E45" s="35">
        <v>210.91</v>
      </c>
      <c r="F45" s="47">
        <f t="shared" si="0"/>
        <v>-1.6733991556735966E-2</v>
      </c>
      <c r="G45" s="35">
        <v>27.27</v>
      </c>
      <c r="H45" s="47">
        <f t="shared" si="0"/>
        <v>-1.180389950249104E-2</v>
      </c>
      <c r="I45" s="35">
        <v>9.0299999999999994</v>
      </c>
      <c r="J45" s="47">
        <f t="shared" si="0"/>
        <v>-6.0486203932623259E-2</v>
      </c>
      <c r="K45" s="35">
        <v>77.209999999999994</v>
      </c>
      <c r="L45" s="47">
        <f t="shared" si="1"/>
        <v>-2.1337284399381408E-2</v>
      </c>
    </row>
    <row r="46" spans="2:12" x14ac:dyDescent="0.35">
      <c r="B46" s="36">
        <v>45320</v>
      </c>
      <c r="C46" s="35">
        <v>10.46</v>
      </c>
      <c r="D46" s="47">
        <f t="shared" si="0"/>
        <v>-2.517073834655156E-2</v>
      </c>
      <c r="E46" s="35">
        <v>213.42</v>
      </c>
      <c r="F46" s="47">
        <f t="shared" si="0"/>
        <v>-1.1830552990895634E-2</v>
      </c>
      <c r="G46" s="35">
        <v>29.17</v>
      </c>
      <c r="H46" s="47">
        <f t="shared" si="0"/>
        <v>-6.7353587022132982E-2</v>
      </c>
      <c r="I46" s="35">
        <v>9.36</v>
      </c>
      <c r="J46" s="47">
        <f t="shared" si="0"/>
        <v>-3.589292306060661E-2</v>
      </c>
      <c r="K46" s="35">
        <v>77.38</v>
      </c>
      <c r="L46" s="47">
        <f t="shared" si="1"/>
        <v>-2.1993669516425329E-3</v>
      </c>
    </row>
    <row r="47" spans="2:12" x14ac:dyDescent="0.35">
      <c r="B47" s="36">
        <v>45317</v>
      </c>
      <c r="C47" s="35">
        <v>10.35</v>
      </c>
      <c r="D47" s="47">
        <f t="shared" si="0"/>
        <v>1.0571938925398896E-2</v>
      </c>
      <c r="E47" s="35">
        <v>208.73</v>
      </c>
      <c r="F47" s="47">
        <f t="shared" si="0"/>
        <v>2.2220504430603864E-2</v>
      </c>
      <c r="G47" s="35">
        <v>29.04</v>
      </c>
      <c r="H47" s="47">
        <f t="shared" si="0"/>
        <v>4.4665939230347975E-3</v>
      </c>
      <c r="I47" s="35">
        <v>9.1199999999999992</v>
      </c>
      <c r="J47" s="47">
        <f t="shared" si="0"/>
        <v>2.5975486403260736E-2</v>
      </c>
      <c r="K47" s="35">
        <v>76.87</v>
      </c>
      <c r="L47" s="47">
        <f t="shared" si="1"/>
        <v>6.6126659113262265E-3</v>
      </c>
    </row>
    <row r="48" spans="2:12" x14ac:dyDescent="0.35">
      <c r="B48" s="36">
        <v>45316</v>
      </c>
      <c r="C48" s="35">
        <v>10.17</v>
      </c>
      <c r="D48" s="47">
        <f t="shared" si="0"/>
        <v>1.7544309650909525E-2</v>
      </c>
      <c r="E48" s="35">
        <v>208.2</v>
      </c>
      <c r="F48" s="47">
        <f t="shared" si="0"/>
        <v>2.5423945769465273E-3</v>
      </c>
      <c r="G48" s="35">
        <v>29.76</v>
      </c>
      <c r="H48" s="47">
        <f t="shared" si="0"/>
        <v>-2.449102000829587E-2</v>
      </c>
      <c r="I48" s="35">
        <v>9.2100000000000009</v>
      </c>
      <c r="J48" s="47">
        <f t="shared" si="0"/>
        <v>-9.8200461809756848E-3</v>
      </c>
      <c r="K48" s="35">
        <v>77.319999999999993</v>
      </c>
      <c r="L48" s="47">
        <f t="shared" si="1"/>
        <v>-5.8369709790893291E-3</v>
      </c>
    </row>
    <row r="49" spans="2:12" x14ac:dyDescent="0.35">
      <c r="B49" s="36">
        <v>45315</v>
      </c>
      <c r="C49" s="35">
        <v>10.45</v>
      </c>
      <c r="D49" s="47">
        <f t="shared" si="0"/>
        <v>-2.7159768350351388E-2</v>
      </c>
      <c r="E49" s="35">
        <v>209.09</v>
      </c>
      <c r="F49" s="47">
        <f t="shared" si="0"/>
        <v>-4.2656251024632934E-3</v>
      </c>
      <c r="G49" s="35">
        <v>29.72</v>
      </c>
      <c r="H49" s="47">
        <f t="shared" si="0"/>
        <v>1.3449901153328341E-3</v>
      </c>
      <c r="I49" s="35">
        <v>9.26</v>
      </c>
      <c r="J49" s="47">
        <f t="shared" si="0"/>
        <v>-5.4141983908724033E-3</v>
      </c>
      <c r="K49" s="35">
        <v>76.540000000000006</v>
      </c>
      <c r="L49" s="47">
        <f t="shared" si="1"/>
        <v>1.013917434257377E-2</v>
      </c>
    </row>
    <row r="50" spans="2:12" x14ac:dyDescent="0.35">
      <c r="B50" s="36">
        <v>45314</v>
      </c>
      <c r="C50" s="35">
        <v>10.43</v>
      </c>
      <c r="D50" s="47">
        <f t="shared" si="0"/>
        <v>1.9157093981389615E-3</v>
      </c>
      <c r="E50" s="35">
        <v>211.78</v>
      </c>
      <c r="F50" s="47">
        <f t="shared" si="0"/>
        <v>-1.278321871897666E-2</v>
      </c>
      <c r="G50" s="35">
        <v>31.44</v>
      </c>
      <c r="H50" s="47">
        <f t="shared" si="0"/>
        <v>-5.6260747711447456E-2</v>
      </c>
      <c r="I50" s="35">
        <v>9.24</v>
      </c>
      <c r="J50" s="47">
        <f t="shared" si="0"/>
        <v>2.1621630044950956E-3</v>
      </c>
      <c r="K50" s="35">
        <v>74.62</v>
      </c>
      <c r="L50" s="47">
        <f t="shared" si="1"/>
        <v>2.5404912204544442E-2</v>
      </c>
    </row>
    <row r="51" spans="2:12" x14ac:dyDescent="0.35">
      <c r="B51" s="36">
        <v>45313</v>
      </c>
      <c r="C51" s="35">
        <v>10.56</v>
      </c>
      <c r="D51" s="47">
        <f t="shared" si="0"/>
        <v>-1.2387009265434465E-2</v>
      </c>
      <c r="E51" s="35">
        <v>209.38</v>
      </c>
      <c r="F51" s="47">
        <f t="shared" si="0"/>
        <v>1.1397217111099509E-2</v>
      </c>
      <c r="G51" s="35">
        <v>31.56</v>
      </c>
      <c r="H51" s="47">
        <f t="shared" si="0"/>
        <v>-3.8095284166676188E-3</v>
      </c>
      <c r="I51" s="35">
        <v>9.2899999999999991</v>
      </c>
      <c r="J51" s="47">
        <f t="shared" si="0"/>
        <v>-5.396667172154276E-3</v>
      </c>
      <c r="K51" s="35">
        <v>74.94</v>
      </c>
      <c r="L51" s="47">
        <f t="shared" si="1"/>
        <v>-4.2792255725294702E-3</v>
      </c>
    </row>
    <row r="52" spans="2:12" x14ac:dyDescent="0.35">
      <c r="B52" s="36">
        <v>45310</v>
      </c>
      <c r="C52" s="35">
        <v>9.9600000000000009</v>
      </c>
      <c r="D52" s="47">
        <f t="shared" si="0"/>
        <v>5.8496206681608418E-2</v>
      </c>
      <c r="E52" s="35">
        <v>207.15</v>
      </c>
      <c r="F52" s="47">
        <f t="shared" si="0"/>
        <v>1.0707614367797928E-2</v>
      </c>
      <c r="G52" s="35">
        <v>30.52</v>
      </c>
      <c r="H52" s="47">
        <f t="shared" si="0"/>
        <v>3.3508289561417194E-2</v>
      </c>
      <c r="I52" s="35">
        <v>8.6999999999999993</v>
      </c>
      <c r="J52" s="47">
        <f t="shared" si="0"/>
        <v>6.5615527165209062E-2</v>
      </c>
      <c r="K52" s="35">
        <v>73.16</v>
      </c>
      <c r="L52" s="47">
        <f t="shared" si="1"/>
        <v>2.4038969842876481E-2</v>
      </c>
    </row>
    <row r="53" spans="2:12" x14ac:dyDescent="0.35">
      <c r="B53" s="36">
        <v>45309</v>
      </c>
      <c r="C53" s="35">
        <v>10.07</v>
      </c>
      <c r="D53" s="47">
        <f t="shared" si="0"/>
        <v>-1.0983635133963963E-2</v>
      </c>
      <c r="E53" s="35">
        <v>204.5</v>
      </c>
      <c r="F53" s="47">
        <f t="shared" si="0"/>
        <v>1.2875193040554445E-2</v>
      </c>
      <c r="G53" s="35">
        <v>30.05</v>
      </c>
      <c r="H53" s="47">
        <f t="shared" si="0"/>
        <v>1.5519545435039701E-2</v>
      </c>
      <c r="I53" s="35">
        <v>8.25</v>
      </c>
      <c r="J53" s="47">
        <f t="shared" si="0"/>
        <v>5.3109825313948332E-2</v>
      </c>
      <c r="K53" s="35">
        <v>74.39</v>
      </c>
      <c r="L53" s="47">
        <f t="shared" si="1"/>
        <v>-1.6672700680585118E-2</v>
      </c>
    </row>
    <row r="54" spans="2:12" x14ac:dyDescent="0.35">
      <c r="B54" s="36">
        <v>45308</v>
      </c>
      <c r="C54" s="35">
        <v>9.43</v>
      </c>
      <c r="D54" s="47">
        <f t="shared" si="0"/>
        <v>6.5664610085104796E-2</v>
      </c>
      <c r="E54" s="35">
        <v>201.89</v>
      </c>
      <c r="F54" s="47">
        <f t="shared" si="0"/>
        <v>1.2844980860724102E-2</v>
      </c>
      <c r="G54" s="35">
        <v>29.46</v>
      </c>
      <c r="H54" s="47">
        <f t="shared" si="0"/>
        <v>1.9829249946732342E-2</v>
      </c>
      <c r="I54" s="35">
        <v>8.5850000000000009</v>
      </c>
      <c r="J54" s="47">
        <f t="shared" si="0"/>
        <v>-3.9803294002849349E-2</v>
      </c>
      <c r="K54" s="35">
        <v>72.8</v>
      </c>
      <c r="L54" s="47">
        <f t="shared" si="1"/>
        <v>2.1605569000609857E-2</v>
      </c>
    </row>
    <row r="55" spans="2:12" x14ac:dyDescent="0.35">
      <c r="B55" s="36">
        <v>45307</v>
      </c>
      <c r="C55" s="35">
        <v>9.39</v>
      </c>
      <c r="D55" s="47">
        <f t="shared" si="0"/>
        <v>4.250803425194568E-3</v>
      </c>
      <c r="E55" s="35">
        <v>207.22</v>
      </c>
      <c r="F55" s="47">
        <f t="shared" si="0"/>
        <v>-2.6058036201473348E-2</v>
      </c>
      <c r="G55" s="35">
        <v>29.31</v>
      </c>
      <c r="H55" s="47">
        <f t="shared" si="0"/>
        <v>5.104656311683272E-3</v>
      </c>
      <c r="I55" s="35">
        <v>9.19</v>
      </c>
      <c r="J55" s="47">
        <f t="shared" si="0"/>
        <v>-6.8099442018156625E-2</v>
      </c>
      <c r="K55" s="35">
        <v>73.25</v>
      </c>
      <c r="L55" s="47">
        <f t="shared" si="1"/>
        <v>-6.1622926945364264E-3</v>
      </c>
    </row>
    <row r="56" spans="2:12" x14ac:dyDescent="0.35">
      <c r="B56" s="36">
        <v>45303</v>
      </c>
      <c r="C56" s="35">
        <v>9.25</v>
      </c>
      <c r="D56" s="47">
        <f t="shared" si="0"/>
        <v>1.5021741695837781E-2</v>
      </c>
      <c r="E56" s="35">
        <v>208.69</v>
      </c>
      <c r="F56" s="47">
        <f t="shared" si="0"/>
        <v>-7.0688664431335004E-3</v>
      </c>
      <c r="G56" s="35">
        <v>29.54</v>
      </c>
      <c r="H56" s="47">
        <f t="shared" si="0"/>
        <v>-7.8165223804327194E-3</v>
      </c>
      <c r="I56" s="35">
        <v>9.41</v>
      </c>
      <c r="J56" s="47">
        <f t="shared" si="0"/>
        <v>-2.3657017229692615E-2</v>
      </c>
      <c r="K56" s="35">
        <v>72.39</v>
      </c>
      <c r="L56" s="47">
        <f t="shared" si="1"/>
        <v>1.1810079592126663E-2</v>
      </c>
    </row>
    <row r="57" spans="2:12" x14ac:dyDescent="0.35">
      <c r="B57" s="36">
        <v>45302</v>
      </c>
      <c r="C57" s="35">
        <v>9.11</v>
      </c>
      <c r="D57" s="47">
        <f t="shared" si="0"/>
        <v>1.5250840252466894E-2</v>
      </c>
      <c r="E57" s="35">
        <v>204.23</v>
      </c>
      <c r="F57" s="47">
        <f t="shared" si="0"/>
        <v>2.1603087537672649E-2</v>
      </c>
      <c r="G57" s="35">
        <v>29.32</v>
      </c>
      <c r="H57" s="47">
        <f t="shared" si="0"/>
        <v>7.4754000847828683E-3</v>
      </c>
      <c r="I57" s="35">
        <v>9.4</v>
      </c>
      <c r="J57" s="47">
        <f t="shared" si="0"/>
        <v>1.0632643213300838E-3</v>
      </c>
      <c r="K57" s="35">
        <v>72.61</v>
      </c>
      <c r="L57" s="47">
        <f t="shared" si="1"/>
        <v>-3.0344850871053025E-3</v>
      </c>
    </row>
    <row r="58" spans="2:12" x14ac:dyDescent="0.35">
      <c r="B58" s="36">
        <v>45301</v>
      </c>
      <c r="C58" s="35">
        <v>9.3000000000000007</v>
      </c>
      <c r="D58" s="47">
        <f t="shared" si="0"/>
        <v>-2.0641688887343485E-2</v>
      </c>
      <c r="E58" s="35">
        <v>193.89</v>
      </c>
      <c r="F58" s="47">
        <f t="shared" si="0"/>
        <v>5.1955821786152795E-2</v>
      </c>
      <c r="G58" s="35">
        <v>28.49</v>
      </c>
      <c r="H58" s="47">
        <f t="shared" si="0"/>
        <v>2.8716728508633858E-2</v>
      </c>
      <c r="I58" s="35">
        <v>9.08</v>
      </c>
      <c r="J58" s="47">
        <f t="shared" si="0"/>
        <v>3.4635496662756338E-2</v>
      </c>
      <c r="K58" s="35">
        <v>71.599999999999994</v>
      </c>
      <c r="L58" s="47">
        <f t="shared" si="1"/>
        <v>1.4007579425555442E-2</v>
      </c>
    </row>
    <row r="59" spans="2:12" x14ac:dyDescent="0.35">
      <c r="B59" s="36">
        <v>45300</v>
      </c>
      <c r="C59" s="35">
        <v>9.15</v>
      </c>
      <c r="D59" s="47">
        <f t="shared" si="0"/>
        <v>1.6260520871780326E-2</v>
      </c>
      <c r="E59" s="35">
        <v>193</v>
      </c>
      <c r="F59" s="47">
        <f t="shared" si="0"/>
        <v>4.6007990380280755E-3</v>
      </c>
      <c r="G59" s="35">
        <v>28.52</v>
      </c>
      <c r="H59" s="47">
        <f t="shared" si="0"/>
        <v>-1.0524470362783384E-3</v>
      </c>
      <c r="I59" s="35">
        <v>9.36</v>
      </c>
      <c r="J59" s="47">
        <f t="shared" si="0"/>
        <v>-3.0371097876298644E-2</v>
      </c>
      <c r="K59" s="35">
        <v>69.739999999999995</v>
      </c>
      <c r="L59" s="47">
        <f t="shared" si="1"/>
        <v>2.6321032719094788E-2</v>
      </c>
    </row>
    <row r="60" spans="2:12" x14ac:dyDescent="0.35">
      <c r="B60" s="36">
        <v>45299</v>
      </c>
      <c r="C60" s="35">
        <v>9.81</v>
      </c>
      <c r="D60" s="47">
        <f t="shared" si="0"/>
        <v>-6.9648394289841736E-2</v>
      </c>
      <c r="E60" s="35">
        <v>190.54</v>
      </c>
      <c r="F60" s="47">
        <f t="shared" si="0"/>
        <v>1.2828042626252263E-2</v>
      </c>
      <c r="G60" s="35">
        <v>28.28</v>
      </c>
      <c r="H60" s="47">
        <f t="shared" si="0"/>
        <v>8.4507545177230307E-3</v>
      </c>
      <c r="I60" s="35">
        <v>9.44</v>
      </c>
      <c r="J60" s="47">
        <f t="shared" si="0"/>
        <v>-8.5106896679086191E-3</v>
      </c>
      <c r="K60" s="35">
        <v>71.930000000000007</v>
      </c>
      <c r="L60" s="47">
        <f t="shared" si="1"/>
        <v>-3.0919382631759921E-2</v>
      </c>
    </row>
    <row r="61" spans="2:12" x14ac:dyDescent="0.35">
      <c r="B61" s="36">
        <v>45296</v>
      </c>
      <c r="C61" s="35">
        <v>10.14</v>
      </c>
      <c r="D61" s="47">
        <f t="shared" si="0"/>
        <v>-3.3085724585765447E-2</v>
      </c>
      <c r="E61" s="35">
        <v>185.69</v>
      </c>
      <c r="F61" s="47">
        <f t="shared" si="0"/>
        <v>2.5783529666128967E-2</v>
      </c>
      <c r="G61" s="35">
        <v>28.1</v>
      </c>
      <c r="H61" s="47">
        <f t="shared" si="0"/>
        <v>6.3852646886719718E-3</v>
      </c>
      <c r="I61" s="35">
        <v>9</v>
      </c>
      <c r="J61" s="47">
        <f t="shared" si="0"/>
        <v>4.7731402821189817E-2</v>
      </c>
      <c r="K61" s="35">
        <v>67.95</v>
      </c>
      <c r="L61" s="47">
        <f t="shared" si="1"/>
        <v>5.6921283282112219E-2</v>
      </c>
    </row>
    <row r="62" spans="2:12" x14ac:dyDescent="0.35">
      <c r="B62" s="36">
        <v>45295</v>
      </c>
      <c r="C62" s="35">
        <v>10.25</v>
      </c>
      <c r="D62" s="47">
        <f t="shared" si="0"/>
        <v>-1.0789707421379977E-2</v>
      </c>
      <c r="E62" s="35">
        <v>186.11</v>
      </c>
      <c r="F62" s="47">
        <f t="shared" si="0"/>
        <v>-2.2592801433681813E-3</v>
      </c>
      <c r="G62" s="35">
        <v>28</v>
      </c>
      <c r="H62" s="47">
        <f t="shared" si="0"/>
        <v>3.5650661644961446E-3</v>
      </c>
      <c r="I62" s="35">
        <v>8.83</v>
      </c>
      <c r="J62" s="47">
        <f t="shared" si="0"/>
        <v>1.906956272035075E-2</v>
      </c>
      <c r="K62" s="35">
        <v>68.58</v>
      </c>
      <c r="L62" s="47">
        <f t="shared" si="1"/>
        <v>-9.2288064376214798E-3</v>
      </c>
    </row>
    <row r="63" spans="2:12" x14ac:dyDescent="0.35">
      <c r="B63" s="36">
        <v>45294</v>
      </c>
      <c r="C63" s="35">
        <v>10.07</v>
      </c>
      <c r="D63" s="47">
        <f t="shared" si="0"/>
        <v>1.7716998853946245E-2</v>
      </c>
      <c r="E63" s="35">
        <v>185.19</v>
      </c>
      <c r="F63" s="47">
        <f t="shared" si="0"/>
        <v>4.9555716819582249E-3</v>
      </c>
      <c r="G63" s="35">
        <v>27.32</v>
      </c>
      <c r="H63" s="47">
        <f t="shared" si="0"/>
        <v>2.458547547261453E-2</v>
      </c>
      <c r="I63" s="35">
        <v>9.68</v>
      </c>
      <c r="J63" s="47">
        <f t="shared" si="0"/>
        <v>-9.1906886672617011E-2</v>
      </c>
      <c r="K63" s="35">
        <v>67.7</v>
      </c>
      <c r="L63" s="47">
        <f t="shared" si="1"/>
        <v>1.2914767116544913E-2</v>
      </c>
    </row>
    <row r="64" spans="2:12" x14ac:dyDescent="0.35">
      <c r="B64" s="36">
        <v>45293</v>
      </c>
      <c r="C64" s="35">
        <v>10.67</v>
      </c>
      <c r="D64" s="47">
        <f t="shared" si="0"/>
        <v>-5.7875358583191039E-2</v>
      </c>
      <c r="E64" s="35">
        <v>189.18</v>
      </c>
      <c r="F64" s="47">
        <f t="shared" si="0"/>
        <v>-2.1316617711110337E-2</v>
      </c>
      <c r="G64" s="35">
        <v>28.56</v>
      </c>
      <c r="H64" s="47">
        <f t="shared" si="0"/>
        <v>-4.4388102768794277E-2</v>
      </c>
      <c r="I64" s="35">
        <v>10.15</v>
      </c>
      <c r="J64" s="47">
        <f t="shared" si="0"/>
        <v>-4.7411804199310771E-2</v>
      </c>
      <c r="K64" s="35">
        <v>66.17</v>
      </c>
      <c r="L64" s="47">
        <f t="shared" si="1"/>
        <v>2.2858991894261139E-2</v>
      </c>
    </row>
    <row r="65" spans="2:12" x14ac:dyDescent="0.35">
      <c r="B65" s="36">
        <v>45289</v>
      </c>
      <c r="C65" s="35">
        <v>10.57</v>
      </c>
      <c r="D65" s="47">
        <f t="shared" si="0"/>
        <v>9.4162654315156861E-3</v>
      </c>
      <c r="E65" s="35">
        <v>192.52</v>
      </c>
      <c r="F65" s="47">
        <f t="shared" si="0"/>
        <v>-1.7501101649884179E-2</v>
      </c>
      <c r="G65" s="35">
        <v>28.04</v>
      </c>
      <c r="H65" s="47">
        <f t="shared" si="0"/>
        <v>1.8375075304994333E-2</v>
      </c>
      <c r="I65" s="35">
        <v>9.94</v>
      </c>
      <c r="J65" s="47">
        <f t="shared" si="0"/>
        <v>2.0906684819313862E-2</v>
      </c>
      <c r="K65" s="35">
        <v>66.3</v>
      </c>
      <c r="L65" s="47">
        <f t="shared" si="1"/>
        <v>-1.9627091678485948E-3</v>
      </c>
    </row>
    <row r="66" spans="2:12" x14ac:dyDescent="0.35">
      <c r="B66" s="36">
        <v>45288</v>
      </c>
      <c r="C66" s="35">
        <v>10.73</v>
      </c>
      <c r="D66" s="47">
        <f t="shared" si="0"/>
        <v>-1.5023756760460862E-2</v>
      </c>
      <c r="E66" s="35">
        <v>194.01</v>
      </c>
      <c r="F66" s="47">
        <f t="shared" si="0"/>
        <v>-7.7096596917024139E-3</v>
      </c>
      <c r="G66" s="35">
        <v>28.42</v>
      </c>
      <c r="H66" s="47">
        <f t="shared" si="0"/>
        <v>-1.3461060502565349E-2</v>
      </c>
      <c r="I66" s="35">
        <v>10.210000000000001</v>
      </c>
      <c r="J66" s="47">
        <f t="shared" si="0"/>
        <v>-2.6800611508091703E-2</v>
      </c>
      <c r="K66" s="35">
        <v>66.33</v>
      </c>
      <c r="L66" s="47">
        <f t="shared" si="1"/>
        <v>-4.5238634564779277E-4</v>
      </c>
    </row>
    <row r="67" spans="2:12" x14ac:dyDescent="0.35">
      <c r="B67" s="36">
        <v>45287</v>
      </c>
      <c r="C67" s="35">
        <v>10.7</v>
      </c>
      <c r="D67" s="47">
        <f t="shared" si="0"/>
        <v>2.7998151747466479E-3</v>
      </c>
      <c r="E67" s="35">
        <v>190.85</v>
      </c>
      <c r="F67" s="47">
        <f t="shared" si="0"/>
        <v>1.6421924935372315E-2</v>
      </c>
      <c r="G67" s="35">
        <v>28.28</v>
      </c>
      <c r="H67" s="47">
        <f t="shared" si="0"/>
        <v>4.9382816405825767E-3</v>
      </c>
      <c r="I67" s="35">
        <v>10.130000000000001</v>
      </c>
      <c r="J67" s="47">
        <f t="shared" si="0"/>
        <v>7.8663139159822863E-3</v>
      </c>
      <c r="K67" s="35">
        <v>66.02</v>
      </c>
      <c r="L67" s="47">
        <f t="shared" si="1"/>
        <v>4.6845571124177381E-3</v>
      </c>
    </row>
    <row r="68" spans="2:12" x14ac:dyDescent="0.35">
      <c r="B68" s="36">
        <v>45286</v>
      </c>
      <c r="C68" s="35">
        <v>10.66</v>
      </c>
      <c r="D68" s="47">
        <f t="shared" si="0"/>
        <v>3.745322730161892E-3</v>
      </c>
      <c r="E68" s="35">
        <v>190.06</v>
      </c>
      <c r="F68" s="47">
        <f t="shared" si="0"/>
        <v>4.1479674080694747E-3</v>
      </c>
      <c r="G68" s="35">
        <v>28.24</v>
      </c>
      <c r="H68" s="47">
        <f t="shared" si="0"/>
        <v>1.4154284033307597E-3</v>
      </c>
      <c r="I68" s="35">
        <v>10.130000000000001</v>
      </c>
      <c r="J68" s="47">
        <f t="shared" ref="J68" si="4">IFERROR(LN(I67/I68),"")</f>
        <v>0</v>
      </c>
      <c r="K68" s="35">
        <v>66.099999999999994</v>
      </c>
      <c r="L68" s="47">
        <f t="shared" si="1"/>
        <v>-1.2110204325936592E-3</v>
      </c>
    </row>
    <row r="69" spans="2:12" x14ac:dyDescent="0.35">
      <c r="B69" s="36">
        <v>45282</v>
      </c>
      <c r="C69" s="35">
        <v>10.64</v>
      </c>
      <c r="D69" s="47">
        <f t="shared" ref="D69:J132" si="5">IFERROR(LN(C68/C69),"")</f>
        <v>1.8779348242001143E-3</v>
      </c>
      <c r="E69" s="35">
        <v>190.85</v>
      </c>
      <c r="F69" s="47">
        <f t="shared" si="5"/>
        <v>-4.1479674080694929E-3</v>
      </c>
      <c r="G69" s="35">
        <v>27.92</v>
      </c>
      <c r="H69" s="47">
        <f t="shared" si="5"/>
        <v>1.1396134730869582E-2</v>
      </c>
      <c r="I69" s="35">
        <v>9.7899999999999991</v>
      </c>
      <c r="J69" s="47">
        <f t="shared" si="5"/>
        <v>3.4139861718173216E-2</v>
      </c>
      <c r="K69" s="35">
        <v>65.81</v>
      </c>
      <c r="L69" s="47">
        <f t="shared" ref="L69:L132" si="6">IFERROR(LN(K68/K69),"")</f>
        <v>4.396944389612749E-3</v>
      </c>
    </row>
    <row r="70" spans="2:12" x14ac:dyDescent="0.35">
      <c r="B70" s="36">
        <v>45281</v>
      </c>
      <c r="C70" s="35">
        <v>10.54</v>
      </c>
      <c r="D70" s="47">
        <f t="shared" si="5"/>
        <v>9.4429408002820875E-3</v>
      </c>
      <c r="E70" s="35">
        <v>187.02</v>
      </c>
      <c r="F70" s="47">
        <f t="shared" si="5"/>
        <v>2.0272216183937836E-2</v>
      </c>
      <c r="G70" s="35">
        <v>28.05</v>
      </c>
      <c r="H70" s="47">
        <f t="shared" si="5"/>
        <v>-4.6453540745336024E-3</v>
      </c>
      <c r="I70" s="35">
        <v>9.59</v>
      </c>
      <c r="J70" s="47">
        <f t="shared" si="5"/>
        <v>2.0640567647072137E-2</v>
      </c>
      <c r="K70" s="35">
        <v>65.33</v>
      </c>
      <c r="L70" s="47">
        <f t="shared" si="6"/>
        <v>7.3204536153688186E-3</v>
      </c>
    </row>
    <row r="71" spans="2:12" x14ac:dyDescent="0.35">
      <c r="B71" s="36">
        <v>45280</v>
      </c>
      <c r="C71" s="35">
        <v>10.08</v>
      </c>
      <c r="D71" s="47">
        <f t="shared" si="5"/>
        <v>4.4624280469993553E-2</v>
      </c>
      <c r="E71" s="35">
        <v>182.98</v>
      </c>
      <c r="F71" s="47">
        <f t="shared" si="5"/>
        <v>2.1838705755911677E-2</v>
      </c>
      <c r="G71" s="35">
        <v>27.2</v>
      </c>
      <c r="H71" s="47">
        <f t="shared" si="5"/>
        <v>3.0771658666753687E-2</v>
      </c>
      <c r="I71" s="35">
        <v>9.5</v>
      </c>
      <c r="J71" s="47">
        <f t="shared" si="5"/>
        <v>9.4290902888516867E-3</v>
      </c>
      <c r="K71" s="35">
        <v>64.540000000000006</v>
      </c>
      <c r="L71" s="47">
        <f t="shared" si="6"/>
        <v>1.2166162228843185E-2</v>
      </c>
    </row>
    <row r="72" spans="2:12" x14ac:dyDescent="0.35">
      <c r="B72" s="36">
        <v>45279</v>
      </c>
      <c r="C72" s="35">
        <v>10.44</v>
      </c>
      <c r="D72" s="47">
        <f t="shared" si="5"/>
        <v>-3.5091319811270061E-2</v>
      </c>
      <c r="E72" s="35">
        <v>183.4</v>
      </c>
      <c r="F72" s="47">
        <f t="shared" si="5"/>
        <v>-2.2927025709753844E-3</v>
      </c>
      <c r="G72" s="35">
        <v>27.31</v>
      </c>
      <c r="H72" s="47">
        <f t="shared" si="5"/>
        <v>-4.0359621836620055E-3</v>
      </c>
      <c r="I72" s="35">
        <v>9.52</v>
      </c>
      <c r="J72" s="47">
        <f t="shared" si="5"/>
        <v>-2.1030501967787877E-3</v>
      </c>
      <c r="K72" s="35">
        <v>64.23</v>
      </c>
      <c r="L72" s="47">
        <f t="shared" si="6"/>
        <v>4.8147953541146631E-3</v>
      </c>
    </row>
    <row r="73" spans="2:12" x14ac:dyDescent="0.35">
      <c r="B73" s="36">
        <v>45278</v>
      </c>
      <c r="C73" s="35">
        <v>10.130000000000001</v>
      </c>
      <c r="D73" s="47">
        <f t="shared" si="5"/>
        <v>3.0143264193900423E-2</v>
      </c>
      <c r="E73" s="35">
        <v>182.05</v>
      </c>
      <c r="F73" s="47">
        <f t="shared" si="5"/>
        <v>7.3881852009220119E-3</v>
      </c>
      <c r="G73" s="35">
        <v>26.9</v>
      </c>
      <c r="H73" s="47">
        <f t="shared" si="5"/>
        <v>1.5126648877820168E-2</v>
      </c>
      <c r="I73" s="35">
        <v>9.07</v>
      </c>
      <c r="J73" s="47">
        <f t="shared" si="5"/>
        <v>4.8422584676228689E-2</v>
      </c>
      <c r="K73" s="35">
        <v>63.94</v>
      </c>
      <c r="L73" s="47">
        <f t="shared" si="6"/>
        <v>4.5252476380057598E-3</v>
      </c>
    </row>
    <row r="74" spans="2:12" x14ac:dyDescent="0.35">
      <c r="B74" s="36">
        <v>45275</v>
      </c>
      <c r="C74" s="35">
        <v>10.46</v>
      </c>
      <c r="D74" s="47">
        <f t="shared" si="5"/>
        <v>-3.2057140376184887E-2</v>
      </c>
      <c r="E74" s="35">
        <v>180.67</v>
      </c>
      <c r="F74" s="47">
        <f t="shared" si="5"/>
        <v>7.6092118356067065E-3</v>
      </c>
      <c r="G74" s="35">
        <v>26.57</v>
      </c>
      <c r="H74" s="47">
        <f t="shared" si="5"/>
        <v>1.2343526836071194E-2</v>
      </c>
      <c r="I74" s="35">
        <v>8.82</v>
      </c>
      <c r="J74" s="47">
        <f t="shared" si="5"/>
        <v>2.7950394108345294E-2</v>
      </c>
      <c r="K74" s="35">
        <v>62.44</v>
      </c>
      <c r="L74" s="47">
        <f t="shared" si="6"/>
        <v>2.3739047984464003E-2</v>
      </c>
    </row>
    <row r="75" spans="2:12" x14ac:dyDescent="0.35">
      <c r="B75" s="36">
        <v>45274</v>
      </c>
      <c r="C75" s="35">
        <v>10.69</v>
      </c>
      <c r="D75" s="47">
        <f t="shared" si="5"/>
        <v>-2.1750266400176903E-2</v>
      </c>
      <c r="E75" s="35">
        <v>182.84</v>
      </c>
      <c r="F75" s="47">
        <f t="shared" si="5"/>
        <v>-1.1939290677707904E-2</v>
      </c>
      <c r="G75" s="35">
        <v>26.5</v>
      </c>
      <c r="H75" s="47">
        <f t="shared" si="5"/>
        <v>2.6380267795455895E-3</v>
      </c>
      <c r="I75" s="35">
        <v>9.0299999999999994</v>
      </c>
      <c r="J75" s="47">
        <f t="shared" si="5"/>
        <v>-2.3530497410194046E-2</v>
      </c>
      <c r="K75" s="35">
        <v>64.040000000000006</v>
      </c>
      <c r="L75" s="47">
        <f t="shared" si="6"/>
        <v>-2.5301792481282798E-2</v>
      </c>
    </row>
    <row r="76" spans="2:12" x14ac:dyDescent="0.35">
      <c r="B76" s="36">
        <v>45273</v>
      </c>
      <c r="C76" s="35">
        <v>10.73</v>
      </c>
      <c r="D76" s="47">
        <f t="shared" si="5"/>
        <v>-3.734831605653308E-3</v>
      </c>
      <c r="E76" s="35">
        <v>177.37</v>
      </c>
      <c r="F76" s="47">
        <f t="shared" si="5"/>
        <v>3.0373507246048637E-2</v>
      </c>
      <c r="G76" s="35">
        <v>24.66</v>
      </c>
      <c r="H76" s="47">
        <f t="shared" si="5"/>
        <v>7.1962235255978266E-2</v>
      </c>
      <c r="I76" s="35">
        <v>8.85</v>
      </c>
      <c r="J76" s="47">
        <f t="shared" si="5"/>
        <v>2.0134908409055807E-2</v>
      </c>
      <c r="K76" s="35">
        <v>67.709999999999994</v>
      </c>
      <c r="L76" s="47">
        <f t="shared" si="6"/>
        <v>-5.5725991369039891E-2</v>
      </c>
    </row>
    <row r="77" spans="2:12" x14ac:dyDescent="0.35">
      <c r="B77" s="36">
        <v>45272</v>
      </c>
      <c r="C77" s="35">
        <v>10.119999999999999</v>
      </c>
      <c r="D77" s="47">
        <f t="shared" si="5"/>
        <v>5.8529892783287817E-2</v>
      </c>
      <c r="E77" s="35">
        <v>175.16</v>
      </c>
      <c r="F77" s="47">
        <f t="shared" si="5"/>
        <v>1.2538104284297462E-2</v>
      </c>
      <c r="G77" s="35">
        <v>24.11</v>
      </c>
      <c r="H77" s="47">
        <f t="shared" si="5"/>
        <v>2.2555805543118541E-2</v>
      </c>
      <c r="I77" s="35">
        <v>8.5</v>
      </c>
      <c r="J77" s="47">
        <f t="shared" si="5"/>
        <v>4.035129552356724E-2</v>
      </c>
      <c r="K77" s="35">
        <v>69.89</v>
      </c>
      <c r="L77" s="47">
        <f t="shared" si="6"/>
        <v>-3.1688697991483779E-2</v>
      </c>
    </row>
    <row r="78" spans="2:12" x14ac:dyDescent="0.35">
      <c r="B78" s="36">
        <v>45271</v>
      </c>
      <c r="C78" s="35">
        <v>10.199999999999999</v>
      </c>
      <c r="D78" s="47">
        <f t="shared" si="5"/>
        <v>-7.874056430905883E-3</v>
      </c>
      <c r="E78" s="35">
        <v>174.48</v>
      </c>
      <c r="F78" s="47">
        <f t="shared" si="5"/>
        <v>3.8897200398240227E-3</v>
      </c>
      <c r="G78" s="35">
        <v>24.03</v>
      </c>
      <c r="H78" s="47">
        <f t="shared" si="5"/>
        <v>3.3236424447019978E-3</v>
      </c>
      <c r="I78" s="35">
        <v>8.56</v>
      </c>
      <c r="J78" s="47">
        <f t="shared" si="5"/>
        <v>-7.0340266573800476E-3</v>
      </c>
      <c r="K78" s="35">
        <v>70.86</v>
      </c>
      <c r="L78" s="47">
        <f t="shared" si="6"/>
        <v>-1.3783521948288234E-2</v>
      </c>
    </row>
    <row r="79" spans="2:12" x14ac:dyDescent="0.35">
      <c r="B79" s="36">
        <v>45268</v>
      </c>
      <c r="C79" s="35">
        <v>10.46</v>
      </c>
      <c r="D79" s="47">
        <f t="shared" si="5"/>
        <v>-2.517073834655156E-2</v>
      </c>
      <c r="E79" s="35">
        <v>172.71</v>
      </c>
      <c r="F79" s="47">
        <f t="shared" si="5"/>
        <v>1.0196234537545543E-2</v>
      </c>
      <c r="G79" s="35">
        <v>24.51</v>
      </c>
      <c r="H79" s="47">
        <f t="shared" si="5"/>
        <v>-1.9778147791643632E-2</v>
      </c>
      <c r="I79" s="35">
        <v>8.6</v>
      </c>
      <c r="J79" s="47">
        <f t="shared" si="5"/>
        <v>-4.6620131058111901E-3</v>
      </c>
      <c r="K79" s="35">
        <v>68.48</v>
      </c>
      <c r="L79" s="47">
        <f t="shared" si="6"/>
        <v>3.4164367603839153E-2</v>
      </c>
    </row>
    <row r="80" spans="2:12" x14ac:dyDescent="0.35">
      <c r="B80" s="36">
        <v>45267</v>
      </c>
      <c r="C80" s="35">
        <v>10.4</v>
      </c>
      <c r="D80" s="47">
        <f t="shared" si="5"/>
        <v>5.7526524894498414E-3</v>
      </c>
      <c r="E80" s="35">
        <v>172.95</v>
      </c>
      <c r="F80" s="47">
        <f t="shared" si="5"/>
        <v>-1.3886480273496973E-3</v>
      </c>
      <c r="G80" s="35">
        <v>24.13</v>
      </c>
      <c r="H80" s="47">
        <f t="shared" si="5"/>
        <v>1.5625317903081033E-2</v>
      </c>
      <c r="I80" s="35">
        <v>8.4600000000000009</v>
      </c>
      <c r="J80" s="47">
        <f t="shared" si="5"/>
        <v>1.6413029641330051E-2</v>
      </c>
      <c r="K80" s="35">
        <v>67.72</v>
      </c>
      <c r="L80" s="47">
        <f t="shared" si="6"/>
        <v>1.1160174568552235E-2</v>
      </c>
    </row>
    <row r="81" spans="2:12" x14ac:dyDescent="0.35">
      <c r="B81" s="36">
        <v>45266</v>
      </c>
      <c r="C81" s="35">
        <v>11.19</v>
      </c>
      <c r="D81" s="47">
        <f t="shared" si="5"/>
        <v>-7.321471617650685E-2</v>
      </c>
      <c r="E81" s="35">
        <v>178.39</v>
      </c>
      <c r="F81" s="47">
        <f t="shared" si="5"/>
        <v>-3.096962937999849E-2</v>
      </c>
      <c r="G81" s="35">
        <v>24.21</v>
      </c>
      <c r="H81" s="47">
        <f t="shared" si="5"/>
        <v>-3.3098913130267913E-3</v>
      </c>
      <c r="I81" s="35">
        <v>8.5</v>
      </c>
      <c r="J81" s="47">
        <f t="shared" si="5"/>
        <v>-4.7169898781387982E-3</v>
      </c>
      <c r="K81" s="35">
        <v>69.33</v>
      </c>
      <c r="L81" s="47">
        <f t="shared" si="6"/>
        <v>-2.3496155689464421E-2</v>
      </c>
    </row>
    <row r="82" spans="2:12" x14ac:dyDescent="0.35">
      <c r="B82" s="36">
        <v>45265</v>
      </c>
      <c r="C82" s="35">
        <v>10.99</v>
      </c>
      <c r="D82" s="47">
        <f t="shared" si="5"/>
        <v>1.8034753908303804E-2</v>
      </c>
      <c r="E82" s="35">
        <v>177.96</v>
      </c>
      <c r="F82" s="47">
        <f t="shared" si="5"/>
        <v>2.4133588253349566E-3</v>
      </c>
      <c r="G82" s="35">
        <v>23.79</v>
      </c>
      <c r="H82" s="47">
        <f t="shared" si="5"/>
        <v>1.7500446635100867E-2</v>
      </c>
      <c r="I82" s="35">
        <v>8.4700000000000006</v>
      </c>
      <c r="J82" s="47">
        <f t="shared" si="5"/>
        <v>3.5356548323075758E-3</v>
      </c>
      <c r="K82" s="35">
        <v>69.02</v>
      </c>
      <c r="L82" s="47">
        <f t="shared" si="6"/>
        <v>4.4813952845418172E-3</v>
      </c>
    </row>
    <row r="83" spans="2:12" x14ac:dyDescent="0.35">
      <c r="B83" s="36">
        <v>45264</v>
      </c>
      <c r="C83" s="35">
        <v>11.8</v>
      </c>
      <c r="D83" s="47">
        <f t="shared" si="5"/>
        <v>-7.1113763056089171E-2</v>
      </c>
      <c r="E83" s="35">
        <v>179.01</v>
      </c>
      <c r="F83" s="47">
        <f t="shared" si="5"/>
        <v>-5.8828642642591179E-3</v>
      </c>
      <c r="G83" s="35">
        <v>24.54</v>
      </c>
      <c r="H83" s="47">
        <f t="shared" si="5"/>
        <v>-3.1039114967899014E-2</v>
      </c>
      <c r="I83" s="35">
        <v>8.8000000000000007</v>
      </c>
      <c r="J83" s="47">
        <f t="shared" si="5"/>
        <v>-3.8221212820197741E-2</v>
      </c>
      <c r="K83" s="35">
        <v>69.06</v>
      </c>
      <c r="L83" s="47">
        <f t="shared" si="6"/>
        <v>-5.7937429198900493E-4</v>
      </c>
    </row>
    <row r="84" spans="2:12" x14ac:dyDescent="0.35">
      <c r="B84" s="36">
        <v>45261</v>
      </c>
      <c r="C84" s="35">
        <v>10.87</v>
      </c>
      <c r="D84" s="47">
        <f t="shared" si="5"/>
        <v>8.2092830338501191E-2</v>
      </c>
      <c r="E84" s="35">
        <v>178.84</v>
      </c>
      <c r="F84" s="47">
        <f t="shared" si="5"/>
        <v>9.5011883632025666E-4</v>
      </c>
      <c r="G84" s="35">
        <v>24.35</v>
      </c>
      <c r="H84" s="47">
        <f t="shared" si="5"/>
        <v>7.7725897541663985E-3</v>
      </c>
      <c r="I84" s="35">
        <v>8.52</v>
      </c>
      <c r="J84" s="47">
        <f t="shared" si="5"/>
        <v>3.2335380642936451E-2</v>
      </c>
      <c r="K84" s="35">
        <v>69.39</v>
      </c>
      <c r="L84" s="47">
        <f t="shared" si="6"/>
        <v>-4.7670729496112106E-3</v>
      </c>
    </row>
    <row r="85" spans="2:12" x14ac:dyDescent="0.35">
      <c r="B85" s="36">
        <v>45260</v>
      </c>
      <c r="C85" s="35">
        <v>10.58</v>
      </c>
      <c r="D85" s="47">
        <f t="shared" si="5"/>
        <v>2.7041274702964684E-2</v>
      </c>
      <c r="E85" s="35">
        <v>174.31</v>
      </c>
      <c r="F85" s="47">
        <f t="shared" si="5"/>
        <v>2.5656228139005734E-2</v>
      </c>
      <c r="G85" s="35">
        <v>23.25</v>
      </c>
      <c r="H85" s="47">
        <f t="shared" si="5"/>
        <v>4.6226717495233521E-2</v>
      </c>
      <c r="I85" s="35">
        <v>8.25</v>
      </c>
      <c r="J85" s="47">
        <f t="shared" si="5"/>
        <v>3.2203140494634734E-2</v>
      </c>
      <c r="K85" s="35">
        <v>67.02</v>
      </c>
      <c r="L85" s="47">
        <f t="shared" si="6"/>
        <v>3.4751682602293214E-2</v>
      </c>
    </row>
    <row r="86" spans="2:12" x14ac:dyDescent="0.35">
      <c r="B86" s="36">
        <v>45259</v>
      </c>
      <c r="C86" s="35">
        <v>10.71</v>
      </c>
      <c r="D86" s="47">
        <f t="shared" si="5"/>
        <v>-1.2212458029504146E-2</v>
      </c>
      <c r="E86" s="35">
        <v>173.36</v>
      </c>
      <c r="F86" s="47">
        <f t="shared" si="5"/>
        <v>5.4649659986703248E-3</v>
      </c>
      <c r="G86" s="35">
        <v>23.92</v>
      </c>
      <c r="H86" s="47">
        <f t="shared" si="5"/>
        <v>-2.8409797049065735E-2</v>
      </c>
      <c r="I86" s="35">
        <v>8.1</v>
      </c>
      <c r="J86" s="47">
        <f t="shared" si="5"/>
        <v>1.8349138668196617E-2</v>
      </c>
      <c r="K86" s="35">
        <v>65.97</v>
      </c>
      <c r="L86" s="47">
        <f t="shared" si="6"/>
        <v>1.5790989074384747E-2</v>
      </c>
    </row>
    <row r="87" spans="2:12" x14ac:dyDescent="0.35">
      <c r="B87" s="36">
        <v>45258</v>
      </c>
      <c r="C87" s="35">
        <v>10.63</v>
      </c>
      <c r="D87" s="47">
        <f t="shared" si="5"/>
        <v>7.4976921058009351E-3</v>
      </c>
      <c r="E87" s="35">
        <v>174.76</v>
      </c>
      <c r="F87" s="47">
        <f t="shared" si="5"/>
        <v>-8.0432468551313776E-3</v>
      </c>
      <c r="G87" s="35">
        <v>24.18</v>
      </c>
      <c r="H87" s="47">
        <f t="shared" si="5"/>
        <v>-1.0810916104215506E-2</v>
      </c>
      <c r="I87" s="35">
        <v>8.1</v>
      </c>
      <c r="J87" s="47">
        <f t="shared" si="5"/>
        <v>0</v>
      </c>
      <c r="K87" s="35">
        <v>66.849999999999994</v>
      </c>
      <c r="L87" s="47">
        <f t="shared" si="6"/>
        <v>-1.3251210313172605E-2</v>
      </c>
    </row>
    <row r="88" spans="2:12" x14ac:dyDescent="0.35">
      <c r="B88" s="36">
        <v>45257</v>
      </c>
      <c r="C88" s="35">
        <v>10.68</v>
      </c>
      <c r="D88" s="47">
        <f t="shared" si="5"/>
        <v>-4.6926411781920644E-3</v>
      </c>
      <c r="E88" s="35">
        <v>173.33</v>
      </c>
      <c r="F88" s="47">
        <f t="shared" si="5"/>
        <v>8.2163121300159615E-3</v>
      </c>
      <c r="G88" s="35">
        <v>23.7</v>
      </c>
      <c r="H88" s="47">
        <f t="shared" si="5"/>
        <v>2.005079704556122E-2</v>
      </c>
      <c r="I88" s="35">
        <v>7.99</v>
      </c>
      <c r="J88" s="47">
        <f t="shared" si="5"/>
        <v>1.3673301900209642E-2</v>
      </c>
      <c r="K88" s="35">
        <v>67.12</v>
      </c>
      <c r="L88" s="47">
        <f t="shared" si="6"/>
        <v>-4.0307586109987028E-3</v>
      </c>
    </row>
    <row r="89" spans="2:12" x14ac:dyDescent="0.35">
      <c r="B89" s="36">
        <v>45254</v>
      </c>
      <c r="C89" s="35">
        <v>10.83</v>
      </c>
      <c r="D89" s="47">
        <f t="shared" si="5"/>
        <v>-1.3947227480850441E-2</v>
      </c>
      <c r="E89" s="35">
        <v>176.57</v>
      </c>
      <c r="F89" s="47">
        <f t="shared" si="5"/>
        <v>-1.8520106361487803E-2</v>
      </c>
      <c r="G89" s="35">
        <v>24.56</v>
      </c>
      <c r="H89" s="47">
        <f t="shared" si="5"/>
        <v>-3.5644055137856227E-2</v>
      </c>
      <c r="I89" s="35">
        <v>8.19</v>
      </c>
      <c r="J89" s="47">
        <f t="shared" si="5"/>
        <v>-2.4723138086794667E-2</v>
      </c>
      <c r="K89" s="35">
        <v>68.489999999999995</v>
      </c>
      <c r="L89" s="47">
        <f t="shared" si="6"/>
        <v>-2.0205687050862963E-2</v>
      </c>
    </row>
    <row r="90" spans="2:12" x14ac:dyDescent="0.35">
      <c r="B90" s="36">
        <v>45252</v>
      </c>
      <c r="C90" s="35">
        <v>10.73</v>
      </c>
      <c r="D90" s="47">
        <f t="shared" si="5"/>
        <v>9.276504370292182E-3</v>
      </c>
      <c r="E90" s="35">
        <v>175.71</v>
      </c>
      <c r="F90" s="47">
        <f t="shared" si="5"/>
        <v>4.8824895449062497E-3</v>
      </c>
      <c r="G90" s="35">
        <v>24.52</v>
      </c>
      <c r="H90" s="47">
        <f t="shared" si="5"/>
        <v>1.62999221093097E-3</v>
      </c>
      <c r="I90" s="35">
        <v>8.0399999999999991</v>
      </c>
      <c r="J90" s="47">
        <f t="shared" si="5"/>
        <v>1.8484814674103161E-2</v>
      </c>
      <c r="K90" s="35">
        <v>66.77</v>
      </c>
      <c r="L90" s="47">
        <f t="shared" si="6"/>
        <v>2.5433871340036357E-2</v>
      </c>
    </row>
    <row r="91" spans="2:12" x14ac:dyDescent="0.35">
      <c r="B91" s="36">
        <v>45251</v>
      </c>
      <c r="C91" s="35">
        <v>10.47</v>
      </c>
      <c r="D91" s="47">
        <f t="shared" si="5"/>
        <v>2.4529531760161642E-2</v>
      </c>
      <c r="E91" s="35">
        <v>176.4</v>
      </c>
      <c r="F91" s="47">
        <f t="shared" si="5"/>
        <v>-3.9192348028902826E-3</v>
      </c>
      <c r="G91" s="35">
        <v>24.04</v>
      </c>
      <c r="H91" s="47">
        <f t="shared" si="5"/>
        <v>1.9770001401003802E-2</v>
      </c>
      <c r="I91" s="35">
        <v>7.92</v>
      </c>
      <c r="J91" s="47">
        <f t="shared" si="5"/>
        <v>1.5037877364540502E-2</v>
      </c>
      <c r="K91" s="35">
        <v>67.48</v>
      </c>
      <c r="L91" s="47">
        <f t="shared" si="6"/>
        <v>-1.0577379807990188E-2</v>
      </c>
    </row>
    <row r="92" spans="2:12" x14ac:dyDescent="0.35">
      <c r="B92" s="36">
        <v>45250</v>
      </c>
      <c r="C92" s="35">
        <v>10.74</v>
      </c>
      <c r="D92" s="47">
        <f t="shared" si="5"/>
        <v>-2.5461064198273143E-2</v>
      </c>
      <c r="E92" s="35">
        <v>178.71</v>
      </c>
      <c r="F92" s="47">
        <f t="shared" si="5"/>
        <v>-1.3010236736014888E-2</v>
      </c>
      <c r="G92" s="35">
        <v>24.42</v>
      </c>
      <c r="H92" s="47">
        <f t="shared" si="5"/>
        <v>-1.5683359015551866E-2</v>
      </c>
      <c r="I92" s="35">
        <v>8.25</v>
      </c>
      <c r="J92" s="47">
        <f t="shared" si="5"/>
        <v>-4.0821994520255166E-2</v>
      </c>
      <c r="K92" s="35">
        <v>66.739999999999995</v>
      </c>
      <c r="L92" s="47">
        <f t="shared" si="6"/>
        <v>1.1026784354539737E-2</v>
      </c>
    </row>
    <row r="93" spans="2:12" x14ac:dyDescent="0.35">
      <c r="B93" s="36">
        <v>45247</v>
      </c>
      <c r="C93" s="35">
        <v>10.67</v>
      </c>
      <c r="D93" s="47">
        <f t="shared" si="5"/>
        <v>6.5390237670566479E-3</v>
      </c>
      <c r="E93" s="35">
        <v>176.54</v>
      </c>
      <c r="F93" s="47">
        <f t="shared" si="5"/>
        <v>1.2216900716619135E-2</v>
      </c>
      <c r="G93" s="35">
        <v>24.64</v>
      </c>
      <c r="H93" s="47">
        <f t="shared" si="5"/>
        <v>-8.9686699827603751E-3</v>
      </c>
      <c r="I93" s="35">
        <v>8.14</v>
      </c>
      <c r="J93" s="47">
        <f t="shared" si="5"/>
        <v>1.342302033214055E-2</v>
      </c>
      <c r="K93" s="35">
        <v>67.31</v>
      </c>
      <c r="L93" s="47">
        <f t="shared" si="6"/>
        <v>-8.5043406993938545E-3</v>
      </c>
    </row>
    <row r="94" spans="2:12" x14ac:dyDescent="0.35">
      <c r="B94" s="36">
        <v>45246</v>
      </c>
      <c r="C94" s="35">
        <v>10.53</v>
      </c>
      <c r="D94" s="47">
        <f t="shared" si="5"/>
        <v>1.320773916777794E-2</v>
      </c>
      <c r="E94" s="35">
        <v>175.32</v>
      </c>
      <c r="F94" s="47">
        <f t="shared" si="5"/>
        <v>6.9346040414783325E-3</v>
      </c>
      <c r="G94" s="35">
        <v>25.4</v>
      </c>
      <c r="H94" s="47">
        <f t="shared" si="5"/>
        <v>-3.037803535917177E-2</v>
      </c>
      <c r="I94" s="35">
        <v>7.98</v>
      </c>
      <c r="J94" s="47">
        <f t="shared" si="5"/>
        <v>1.9851768552731529E-2</v>
      </c>
      <c r="K94" s="35">
        <v>68.010000000000005</v>
      </c>
      <c r="L94" s="47">
        <f t="shared" si="6"/>
        <v>-1.0345939164925662E-2</v>
      </c>
    </row>
    <row r="95" spans="2:12" x14ac:dyDescent="0.35">
      <c r="B95" s="36">
        <v>45245</v>
      </c>
      <c r="C95" s="35">
        <v>10.69</v>
      </c>
      <c r="D95" s="47">
        <f t="shared" si="5"/>
        <v>-1.5080398891069735E-2</v>
      </c>
      <c r="E95" s="35">
        <v>176.78</v>
      </c>
      <c r="F95" s="47">
        <f t="shared" si="5"/>
        <v>-8.2931460821935067E-3</v>
      </c>
      <c r="G95" s="35">
        <v>25.4</v>
      </c>
      <c r="H95" s="47">
        <f t="shared" si="5"/>
        <v>0</v>
      </c>
      <c r="I95" s="35">
        <v>8.3800000000000008</v>
      </c>
      <c r="J95" s="47">
        <f t="shared" si="5"/>
        <v>-4.8909503032274267E-2</v>
      </c>
      <c r="K95" s="35">
        <v>67.790000000000006</v>
      </c>
      <c r="L95" s="47">
        <f t="shared" si="6"/>
        <v>3.2400617446730804E-3</v>
      </c>
    </row>
    <row r="96" spans="2:12" x14ac:dyDescent="0.35">
      <c r="B96" s="36">
        <v>45244</v>
      </c>
      <c r="C96" s="35">
        <v>10.58</v>
      </c>
      <c r="D96" s="47">
        <f t="shared" si="5"/>
        <v>1.0343298606800522E-2</v>
      </c>
      <c r="E96" s="35">
        <v>173.45</v>
      </c>
      <c r="F96" s="47">
        <f t="shared" si="5"/>
        <v>1.9016648217043207E-2</v>
      </c>
      <c r="G96" s="35">
        <v>25.4</v>
      </c>
      <c r="H96" s="47">
        <f t="shared" si="5"/>
        <v>0</v>
      </c>
      <c r="I96" s="35">
        <v>8.2899999999999991</v>
      </c>
      <c r="J96" s="47">
        <f t="shared" si="5"/>
        <v>1.079794534678835E-2</v>
      </c>
      <c r="K96" s="35">
        <v>68.3</v>
      </c>
      <c r="L96" s="47">
        <f t="shared" si="6"/>
        <v>-7.495075133870043E-3</v>
      </c>
    </row>
    <row r="97" spans="2:12" x14ac:dyDescent="0.35">
      <c r="B97" s="36">
        <v>45243</v>
      </c>
      <c r="C97" s="35">
        <v>9.9600000000000009</v>
      </c>
      <c r="D97" s="47">
        <f t="shared" si="5"/>
        <v>6.0388354833646352E-2</v>
      </c>
      <c r="E97" s="35">
        <v>166.25</v>
      </c>
      <c r="F97" s="47">
        <f t="shared" si="5"/>
        <v>4.2396693879795097E-2</v>
      </c>
      <c r="G97" s="35">
        <v>23.88</v>
      </c>
      <c r="H97" s="47">
        <f t="shared" si="5"/>
        <v>6.1707885500089474E-2</v>
      </c>
      <c r="I97" s="35">
        <v>7.52</v>
      </c>
      <c r="J97" s="47">
        <f t="shared" si="5"/>
        <v>9.7483831185455033E-2</v>
      </c>
      <c r="K97" s="35">
        <v>69.67</v>
      </c>
      <c r="L97" s="47">
        <f t="shared" si="6"/>
        <v>-1.9860042465283247E-2</v>
      </c>
    </row>
    <row r="98" spans="2:12" x14ac:dyDescent="0.35">
      <c r="B98" s="36">
        <v>45240</v>
      </c>
      <c r="C98" s="35">
        <v>10.32</v>
      </c>
      <c r="D98" s="47">
        <f t="shared" si="5"/>
        <v>-3.5506688456909762E-2</v>
      </c>
      <c r="E98" s="35">
        <v>165.08</v>
      </c>
      <c r="F98" s="47">
        <f t="shared" si="5"/>
        <v>7.0624746515824798E-3</v>
      </c>
      <c r="G98" s="35">
        <v>23.83</v>
      </c>
      <c r="H98" s="47">
        <f t="shared" si="5"/>
        <v>2.0959974137507069E-3</v>
      </c>
      <c r="I98" s="35">
        <v>7.18</v>
      </c>
      <c r="J98" s="47">
        <f t="shared" si="5"/>
        <v>4.6266754901615595E-2</v>
      </c>
      <c r="K98" s="35">
        <v>68.989999999999995</v>
      </c>
      <c r="L98" s="47">
        <f t="shared" si="6"/>
        <v>9.8082424840102954E-3</v>
      </c>
    </row>
    <row r="99" spans="2:12" x14ac:dyDescent="0.35">
      <c r="B99" s="36">
        <v>45239</v>
      </c>
      <c r="C99" s="35">
        <v>10.44</v>
      </c>
      <c r="D99" s="47">
        <f t="shared" si="5"/>
        <v>-1.1560822401075858E-2</v>
      </c>
      <c r="E99" s="35">
        <v>166.6</v>
      </c>
      <c r="F99" s="47">
        <f t="shared" si="5"/>
        <v>-9.1655248483611673E-3</v>
      </c>
      <c r="G99" s="35">
        <v>20.5</v>
      </c>
      <c r="H99" s="47">
        <f t="shared" si="5"/>
        <v>0.15052040496628818</v>
      </c>
      <c r="I99" s="35">
        <v>6.93</v>
      </c>
      <c r="J99" s="47">
        <f t="shared" si="5"/>
        <v>3.5439569858321023E-2</v>
      </c>
      <c r="K99" s="35">
        <v>67.75</v>
      </c>
      <c r="L99" s="47">
        <f t="shared" si="6"/>
        <v>1.8137106798206886E-2</v>
      </c>
    </row>
    <row r="100" spans="2:12" x14ac:dyDescent="0.35">
      <c r="B100" s="36">
        <v>45238</v>
      </c>
      <c r="C100" s="35">
        <v>10.84</v>
      </c>
      <c r="D100" s="47">
        <f t="shared" si="5"/>
        <v>-3.7598413557007548E-2</v>
      </c>
      <c r="E100" s="35">
        <v>194.13</v>
      </c>
      <c r="F100" s="47">
        <f t="shared" si="5"/>
        <v>-0.15293230800454205</v>
      </c>
      <c r="G100" s="35">
        <v>21.07</v>
      </c>
      <c r="H100" s="47">
        <f t="shared" si="5"/>
        <v>-2.7425341671735239E-2</v>
      </c>
      <c r="I100" s="35">
        <v>7.45</v>
      </c>
      <c r="J100" s="47">
        <f t="shared" si="5"/>
        <v>-7.2354219189656371E-2</v>
      </c>
      <c r="K100" s="35">
        <v>67.23</v>
      </c>
      <c r="L100" s="47">
        <f t="shared" si="6"/>
        <v>7.7048832788649329E-3</v>
      </c>
    </row>
    <row r="101" spans="2:12" x14ac:dyDescent="0.35">
      <c r="B101" s="36">
        <v>45237</v>
      </c>
      <c r="C101" s="35">
        <v>10.83</v>
      </c>
      <c r="D101" s="47">
        <f t="shared" si="5"/>
        <v>9.2293499860089873E-4</v>
      </c>
      <c r="E101" s="35">
        <v>194.12</v>
      </c>
      <c r="F101" s="47">
        <f t="shared" si="5"/>
        <v>5.1513200268823917E-5</v>
      </c>
      <c r="G101" s="35">
        <v>21.27</v>
      </c>
      <c r="H101" s="47">
        <f t="shared" si="5"/>
        <v>-9.4474013960481416E-3</v>
      </c>
      <c r="I101" s="35">
        <v>7.38</v>
      </c>
      <c r="J101" s="47">
        <f t="shared" si="5"/>
        <v>9.4403937790871265E-3</v>
      </c>
      <c r="K101" s="35">
        <v>67.680000000000007</v>
      </c>
      <c r="L101" s="47">
        <f t="shared" si="6"/>
        <v>-6.6711388170225348E-3</v>
      </c>
    </row>
    <row r="102" spans="2:12" x14ac:dyDescent="0.35">
      <c r="B102" s="36">
        <v>45236</v>
      </c>
      <c r="C102" s="35">
        <v>10.69</v>
      </c>
      <c r="D102" s="47">
        <f t="shared" si="5"/>
        <v>1.3011335975945369E-2</v>
      </c>
      <c r="E102" s="35">
        <v>196.15</v>
      </c>
      <c r="F102" s="47">
        <f t="shared" si="5"/>
        <v>-1.0403148118546087E-2</v>
      </c>
      <c r="G102" s="35">
        <v>21.3</v>
      </c>
      <c r="H102" s="47">
        <f t="shared" si="5"/>
        <v>-1.4094435032336043E-3</v>
      </c>
      <c r="I102" s="35">
        <v>7.49</v>
      </c>
      <c r="J102" s="47">
        <f t="shared" si="5"/>
        <v>-1.4795158916747049E-2</v>
      </c>
      <c r="K102" s="35">
        <v>67.19</v>
      </c>
      <c r="L102" s="47">
        <f t="shared" si="6"/>
        <v>7.2662883659094617E-3</v>
      </c>
    </row>
    <row r="103" spans="2:12" x14ac:dyDescent="0.35">
      <c r="B103" s="36">
        <v>45233</v>
      </c>
      <c r="C103" s="35">
        <v>11.53</v>
      </c>
      <c r="D103" s="47">
        <f t="shared" si="5"/>
        <v>-7.5643609244013837E-2</v>
      </c>
      <c r="E103" s="35">
        <v>194.59</v>
      </c>
      <c r="F103" s="47">
        <f t="shared" si="5"/>
        <v>7.9848916854971703E-3</v>
      </c>
      <c r="G103" s="35">
        <v>21.92</v>
      </c>
      <c r="H103" s="47">
        <f t="shared" si="5"/>
        <v>-2.8692389364435394E-2</v>
      </c>
      <c r="I103" s="35">
        <v>7.27</v>
      </c>
      <c r="J103" s="47">
        <f t="shared" si="5"/>
        <v>2.9812505983700114E-2</v>
      </c>
      <c r="K103" s="35">
        <v>64.14</v>
      </c>
      <c r="L103" s="47">
        <f t="shared" si="6"/>
        <v>4.6456232667049666E-2</v>
      </c>
    </row>
    <row r="104" spans="2:12" x14ac:dyDescent="0.35">
      <c r="B104" s="36">
        <v>45232</v>
      </c>
      <c r="C104" s="35">
        <v>10.86</v>
      </c>
      <c r="D104" s="47">
        <f t="shared" si="5"/>
        <v>5.9866019775178289E-2</v>
      </c>
      <c r="E104" s="35">
        <v>189.91</v>
      </c>
      <c r="F104" s="47">
        <f t="shared" si="5"/>
        <v>2.4344505243910838E-2</v>
      </c>
      <c r="G104" s="35">
        <v>21</v>
      </c>
      <c r="H104" s="47">
        <f t="shared" si="5"/>
        <v>4.2877024356391936E-2</v>
      </c>
      <c r="I104" s="35">
        <v>6.06</v>
      </c>
      <c r="J104" s="47">
        <f t="shared" si="5"/>
        <v>0.18204649146420493</v>
      </c>
      <c r="K104" s="35">
        <v>66.489999999999995</v>
      </c>
      <c r="L104" s="47">
        <f t="shared" si="6"/>
        <v>-3.5983366149354594E-2</v>
      </c>
    </row>
    <row r="105" spans="2:12" x14ac:dyDescent="0.35">
      <c r="B105" s="36">
        <v>45231</v>
      </c>
      <c r="C105" s="35">
        <v>12.1</v>
      </c>
      <c r="D105" s="47">
        <f t="shared" si="5"/>
        <v>-0.10811913809690604</v>
      </c>
      <c r="E105" s="35">
        <v>187.05</v>
      </c>
      <c r="F105" s="47">
        <f t="shared" si="5"/>
        <v>1.5174314931998506E-2</v>
      </c>
      <c r="G105" s="35">
        <v>20.329999999999998</v>
      </c>
      <c r="H105" s="47">
        <f t="shared" si="5"/>
        <v>3.2424810083167811E-2</v>
      </c>
      <c r="I105" s="35">
        <v>5.7</v>
      </c>
      <c r="J105" s="47">
        <f t="shared" si="5"/>
        <v>6.1243625240718594E-2</v>
      </c>
      <c r="K105" s="35">
        <v>68.099999999999994</v>
      </c>
      <c r="L105" s="47">
        <f t="shared" si="6"/>
        <v>-2.3925652741103039E-2</v>
      </c>
    </row>
    <row r="106" spans="2:12" x14ac:dyDescent="0.35">
      <c r="B106" s="36">
        <v>45230</v>
      </c>
      <c r="C106" s="35">
        <v>11.79</v>
      </c>
      <c r="D106" s="47">
        <f t="shared" si="5"/>
        <v>2.5953738053415804E-2</v>
      </c>
      <c r="E106" s="35">
        <v>192.71</v>
      </c>
      <c r="F106" s="47">
        <f t="shared" si="5"/>
        <v>-2.9810507415674037E-2</v>
      </c>
      <c r="G106" s="35">
        <v>20.43</v>
      </c>
      <c r="H106" s="47">
        <f t="shared" si="5"/>
        <v>-4.9067811892754996E-3</v>
      </c>
      <c r="I106" s="35">
        <v>5.76</v>
      </c>
      <c r="J106" s="47">
        <f t="shared" si="5"/>
        <v>-1.0471299867295366E-2</v>
      </c>
      <c r="K106" s="35">
        <v>71.680000000000007</v>
      </c>
      <c r="L106" s="47">
        <f t="shared" si="6"/>
        <v>-5.1234555511208549E-2</v>
      </c>
    </row>
    <row r="107" spans="2:12" x14ac:dyDescent="0.35">
      <c r="B107" s="36">
        <v>45229</v>
      </c>
      <c r="C107" s="35">
        <v>11.38</v>
      </c>
      <c r="D107" s="47">
        <f t="shared" si="5"/>
        <v>3.5394285851094498E-2</v>
      </c>
      <c r="E107" s="35">
        <v>190.28</v>
      </c>
      <c r="F107" s="47">
        <f t="shared" si="5"/>
        <v>1.2689796645748638E-2</v>
      </c>
      <c r="G107" s="35">
        <v>20.94</v>
      </c>
      <c r="H107" s="47">
        <f t="shared" si="5"/>
        <v>-2.4656796612860171E-2</v>
      </c>
      <c r="I107" s="35">
        <v>5.96</v>
      </c>
      <c r="J107" s="47">
        <f t="shared" si="5"/>
        <v>-3.4133006369458582E-2</v>
      </c>
      <c r="K107" s="35">
        <v>72.53</v>
      </c>
      <c r="L107" s="47">
        <f t="shared" si="6"/>
        <v>-1.1788500708645922E-2</v>
      </c>
    </row>
    <row r="108" spans="2:12" x14ac:dyDescent="0.35">
      <c r="B108" s="36">
        <v>45226</v>
      </c>
      <c r="C108" s="35">
        <v>11.19</v>
      </c>
      <c r="D108" s="47">
        <f t="shared" si="5"/>
        <v>1.6836906374351153E-2</v>
      </c>
      <c r="E108" s="35">
        <v>189.52</v>
      </c>
      <c r="F108" s="47">
        <f t="shared" si="5"/>
        <v>4.00211171355067E-3</v>
      </c>
      <c r="G108" s="35">
        <v>20.78</v>
      </c>
      <c r="H108" s="47">
        <f t="shared" si="5"/>
        <v>7.6702197713094337E-3</v>
      </c>
      <c r="I108" s="35">
        <v>5.94</v>
      </c>
      <c r="J108" s="47">
        <f t="shared" si="5"/>
        <v>3.3613477027047063E-3</v>
      </c>
      <c r="K108" s="35">
        <v>70.989999999999995</v>
      </c>
      <c r="L108" s="47">
        <f t="shared" si="6"/>
        <v>2.1461247324026666E-2</v>
      </c>
    </row>
    <row r="109" spans="2:12" x14ac:dyDescent="0.35">
      <c r="B109" s="36">
        <v>45225</v>
      </c>
      <c r="C109" s="35">
        <v>11.15</v>
      </c>
      <c r="D109" s="47">
        <f t="shared" si="5"/>
        <v>3.5810244177060212E-3</v>
      </c>
      <c r="E109" s="35">
        <v>190.14</v>
      </c>
      <c r="F109" s="47">
        <f t="shared" si="5"/>
        <v>-3.2660830803542145E-3</v>
      </c>
      <c r="G109" s="35">
        <v>21.06</v>
      </c>
      <c r="H109" s="47">
        <f t="shared" si="5"/>
        <v>-1.3384521034747961E-2</v>
      </c>
      <c r="I109" s="35">
        <v>6.11</v>
      </c>
      <c r="J109" s="47">
        <f t="shared" si="5"/>
        <v>-2.8217639808950409E-2</v>
      </c>
      <c r="K109" s="35">
        <v>71.73</v>
      </c>
      <c r="L109" s="47">
        <f t="shared" si="6"/>
        <v>-1.0370048087048674E-2</v>
      </c>
    </row>
    <row r="110" spans="2:12" x14ac:dyDescent="0.35">
      <c r="B110" s="36">
        <v>45224</v>
      </c>
      <c r="C110" s="35">
        <v>11.5</v>
      </c>
      <c r="D110" s="47">
        <f t="shared" si="5"/>
        <v>-3.0907537463076548E-2</v>
      </c>
      <c r="E110" s="35">
        <v>194.78</v>
      </c>
      <c r="F110" s="47">
        <f t="shared" si="5"/>
        <v>-2.4110073602168859E-2</v>
      </c>
      <c r="G110" s="35">
        <v>21.76</v>
      </c>
      <c r="H110" s="47">
        <f t="shared" si="5"/>
        <v>-3.2697915281912605E-2</v>
      </c>
      <c r="I110" s="35">
        <v>6.15</v>
      </c>
      <c r="J110" s="47">
        <f t="shared" si="5"/>
        <v>-6.5253086349225152E-3</v>
      </c>
      <c r="K110" s="35">
        <v>72.12</v>
      </c>
      <c r="L110" s="47">
        <f t="shared" si="6"/>
        <v>-5.4223281967734627E-3</v>
      </c>
    </row>
    <row r="111" spans="2:12" x14ac:dyDescent="0.35">
      <c r="B111" s="36">
        <v>45223</v>
      </c>
      <c r="C111" s="35">
        <v>11.72</v>
      </c>
      <c r="D111" s="47">
        <f t="shared" si="5"/>
        <v>-1.8949748779662233E-2</v>
      </c>
      <c r="E111" s="35">
        <v>197.19</v>
      </c>
      <c r="F111" s="47">
        <f t="shared" si="5"/>
        <v>-1.2297014410541342E-2</v>
      </c>
      <c r="G111" s="35">
        <v>22.82</v>
      </c>
      <c r="H111" s="47">
        <f t="shared" si="5"/>
        <v>-4.7563922446187623E-2</v>
      </c>
      <c r="I111" s="35">
        <v>6.47</v>
      </c>
      <c r="J111" s="47">
        <f t="shared" si="5"/>
        <v>-5.072402669438264E-2</v>
      </c>
      <c r="K111" s="35">
        <v>71.81</v>
      </c>
      <c r="L111" s="47">
        <f t="shared" si="6"/>
        <v>4.307656212890385E-3</v>
      </c>
    </row>
    <row r="112" spans="2:12" x14ac:dyDescent="0.35">
      <c r="B112" s="36">
        <v>45222</v>
      </c>
      <c r="C112" s="35">
        <v>11.67</v>
      </c>
      <c r="D112" s="47">
        <f t="shared" si="5"/>
        <v>4.2753378504019456E-3</v>
      </c>
      <c r="E112" s="35">
        <v>195.13</v>
      </c>
      <c r="F112" s="47">
        <f t="shared" si="5"/>
        <v>1.0501727836687329E-2</v>
      </c>
      <c r="G112" s="35">
        <v>22.2</v>
      </c>
      <c r="H112" s="47">
        <f t="shared" si="5"/>
        <v>2.7545055555695759E-2</v>
      </c>
      <c r="I112" s="35">
        <v>6.32</v>
      </c>
      <c r="J112" s="47">
        <f t="shared" si="5"/>
        <v>2.3456900354043048E-2</v>
      </c>
      <c r="K112" s="35">
        <v>71.95</v>
      </c>
      <c r="L112" s="47">
        <f t="shared" si="6"/>
        <v>-1.9476912111506309E-3</v>
      </c>
    </row>
    <row r="113" spans="2:12" x14ac:dyDescent="0.35">
      <c r="B113" s="36">
        <v>45219</v>
      </c>
      <c r="C113" s="35">
        <v>11.7</v>
      </c>
      <c r="D113" s="47">
        <f t="shared" si="5"/>
        <v>-2.5673955052458097E-3</v>
      </c>
      <c r="E113" s="35">
        <v>200.39</v>
      </c>
      <c r="F113" s="47">
        <f t="shared" si="5"/>
        <v>-2.6599464659145207E-2</v>
      </c>
      <c r="G113" s="35">
        <v>22.09</v>
      </c>
      <c r="H113" s="47">
        <f t="shared" si="5"/>
        <v>4.9672714462078707E-3</v>
      </c>
      <c r="I113" s="35">
        <v>6.55</v>
      </c>
      <c r="J113" s="47">
        <f t="shared" si="5"/>
        <v>-3.5745841488394416E-2</v>
      </c>
      <c r="K113" s="35">
        <v>73.11</v>
      </c>
      <c r="L113" s="47">
        <f t="shared" si="6"/>
        <v>-1.5993722971847667E-2</v>
      </c>
    </row>
    <row r="114" spans="2:12" x14ac:dyDescent="0.35">
      <c r="B114" s="36">
        <v>45218</v>
      </c>
      <c r="C114" s="35">
        <v>11.15</v>
      </c>
      <c r="D114" s="47">
        <f t="shared" si="5"/>
        <v>4.8149343897582596E-2</v>
      </c>
      <c r="E114" s="35">
        <v>202.17</v>
      </c>
      <c r="F114" s="47">
        <f t="shared" si="5"/>
        <v>-8.8434598601827806E-3</v>
      </c>
      <c r="G114" s="35">
        <v>22.06</v>
      </c>
      <c r="H114" s="47">
        <f t="shared" si="5"/>
        <v>1.3590036066694162E-3</v>
      </c>
      <c r="I114" s="35">
        <v>7.58</v>
      </c>
      <c r="J114" s="47">
        <f t="shared" si="5"/>
        <v>-0.14604815000711985</v>
      </c>
      <c r="K114" s="35">
        <v>76.13</v>
      </c>
      <c r="L114" s="47">
        <f t="shared" si="6"/>
        <v>-4.0477249012896677E-2</v>
      </c>
    </row>
    <row r="115" spans="2:12" x14ac:dyDescent="0.35">
      <c r="B115" s="36">
        <v>45217</v>
      </c>
      <c r="C115" s="35">
        <v>11.05</v>
      </c>
      <c r="D115" s="47">
        <f t="shared" si="5"/>
        <v>9.0090699423659108E-3</v>
      </c>
      <c r="E115" s="35">
        <v>206.2</v>
      </c>
      <c r="F115" s="47">
        <f t="shared" si="5"/>
        <v>-1.9737643956624189E-2</v>
      </c>
      <c r="G115" s="35">
        <v>22.03</v>
      </c>
      <c r="H115" s="47">
        <f t="shared" si="5"/>
        <v>1.3608530111045452E-3</v>
      </c>
      <c r="I115" s="35">
        <v>7.08</v>
      </c>
      <c r="J115" s="47">
        <f t="shared" si="5"/>
        <v>6.8239291948651859E-2</v>
      </c>
      <c r="K115" s="35">
        <v>75.19</v>
      </c>
      <c r="L115" s="47">
        <f t="shared" si="6"/>
        <v>1.2424161928185727E-2</v>
      </c>
    </row>
    <row r="116" spans="2:12" x14ac:dyDescent="0.35">
      <c r="B116" s="36">
        <v>45216</v>
      </c>
      <c r="C116" s="35">
        <v>11.72</v>
      </c>
      <c r="D116" s="47">
        <f t="shared" si="5"/>
        <v>-5.8866356185104753E-2</v>
      </c>
      <c r="E116" s="35">
        <v>207.94</v>
      </c>
      <c r="F116" s="47">
        <f t="shared" si="5"/>
        <v>-8.4030049669646494E-3</v>
      </c>
      <c r="G116" s="35">
        <v>22.53</v>
      </c>
      <c r="H116" s="47">
        <f t="shared" si="5"/>
        <v>-2.2442593629901256E-2</v>
      </c>
      <c r="I116" s="35">
        <v>6.97</v>
      </c>
      <c r="J116" s="47">
        <f t="shared" si="5"/>
        <v>1.5658682933195955E-2</v>
      </c>
      <c r="K116" s="35">
        <v>75</v>
      </c>
      <c r="L116" s="47">
        <f t="shared" si="6"/>
        <v>2.5301298536250343E-3</v>
      </c>
    </row>
    <row r="117" spans="2:12" x14ac:dyDescent="0.35">
      <c r="B117" s="36">
        <v>45215</v>
      </c>
      <c r="C117" s="35">
        <v>12.11</v>
      </c>
      <c r="D117" s="47">
        <f t="shared" si="5"/>
        <v>-3.273477341613424E-2</v>
      </c>
      <c r="E117" s="35">
        <v>211.96</v>
      </c>
      <c r="F117" s="47">
        <f t="shared" si="5"/>
        <v>-1.9148001074737186E-2</v>
      </c>
      <c r="G117" s="35">
        <v>22.24</v>
      </c>
      <c r="H117" s="47">
        <f t="shared" si="5"/>
        <v>1.2955285061771635E-2</v>
      </c>
      <c r="I117" s="35">
        <v>6.8</v>
      </c>
      <c r="J117" s="47">
        <f t="shared" si="5"/>
        <v>2.4692612590371414E-2</v>
      </c>
      <c r="K117" s="35">
        <v>74.98</v>
      </c>
      <c r="L117" s="47">
        <f t="shared" si="6"/>
        <v>2.667022285444728E-4</v>
      </c>
    </row>
    <row r="118" spans="2:12" x14ac:dyDescent="0.35">
      <c r="B118" s="36">
        <v>45212</v>
      </c>
      <c r="C118" s="35">
        <v>13.2</v>
      </c>
      <c r="D118" s="47">
        <f t="shared" si="5"/>
        <v>-8.6185272027324233E-2</v>
      </c>
      <c r="E118" s="35">
        <v>216.11</v>
      </c>
      <c r="F118" s="47">
        <f t="shared" si="5"/>
        <v>-1.9389959690374194E-2</v>
      </c>
      <c r="G118" s="35">
        <v>21.6</v>
      </c>
      <c r="H118" s="47">
        <f t="shared" si="5"/>
        <v>2.9199154692262135E-2</v>
      </c>
      <c r="I118" s="35">
        <v>6.8049999999999997</v>
      </c>
      <c r="J118" s="47">
        <f t="shared" si="5"/>
        <v>-7.3502392136832041E-4</v>
      </c>
      <c r="K118" s="35">
        <v>74.5</v>
      </c>
      <c r="L118" s="47">
        <f t="shared" si="6"/>
        <v>6.4222859222521078E-3</v>
      </c>
    </row>
    <row r="119" spans="2:12" x14ac:dyDescent="0.35">
      <c r="B119" s="36">
        <v>45211</v>
      </c>
      <c r="C119" s="35">
        <v>12.68</v>
      </c>
      <c r="D119" s="47">
        <f t="shared" si="5"/>
        <v>4.0190880583245277E-2</v>
      </c>
      <c r="E119" s="35">
        <v>215.97</v>
      </c>
      <c r="F119" s="47">
        <f t="shared" si="5"/>
        <v>6.4802816561433467E-4</v>
      </c>
      <c r="G119" s="35">
        <v>21.67</v>
      </c>
      <c r="H119" s="47">
        <f t="shared" si="5"/>
        <v>-3.2355008581484044E-3</v>
      </c>
      <c r="I119" s="35">
        <v>6.9</v>
      </c>
      <c r="J119" s="47">
        <f t="shared" si="5"/>
        <v>-1.386377549978441E-2</v>
      </c>
      <c r="K119" s="35">
        <v>75.180000000000007</v>
      </c>
      <c r="L119" s="47">
        <f t="shared" si="6"/>
        <v>-9.0861127505182208E-3</v>
      </c>
    </row>
    <row r="120" spans="2:12" x14ac:dyDescent="0.35">
      <c r="B120" s="36">
        <v>45210</v>
      </c>
      <c r="C120" s="35">
        <v>13.36</v>
      </c>
      <c r="D120" s="47">
        <f t="shared" si="5"/>
        <v>-5.2239219099419816E-2</v>
      </c>
      <c r="E120" s="35">
        <v>216.72</v>
      </c>
      <c r="F120" s="47">
        <f t="shared" si="5"/>
        <v>-3.4666886275184312E-3</v>
      </c>
      <c r="G120" s="35">
        <v>22.27</v>
      </c>
      <c r="H120" s="47">
        <f t="shared" si="5"/>
        <v>-2.7311665721008526E-2</v>
      </c>
      <c r="I120" s="35">
        <v>7.1</v>
      </c>
      <c r="J120" s="47">
        <f t="shared" si="5"/>
        <v>-2.8573372444055885E-2</v>
      </c>
      <c r="K120" s="35">
        <v>74.02</v>
      </c>
      <c r="L120" s="47">
        <f t="shared" si="6"/>
        <v>1.554991117802206E-2</v>
      </c>
    </row>
    <row r="121" spans="2:12" x14ac:dyDescent="0.35">
      <c r="B121" s="36">
        <v>45209</v>
      </c>
      <c r="C121" s="35">
        <v>14.33</v>
      </c>
      <c r="D121" s="47">
        <f t="shared" si="5"/>
        <v>-7.0090073731580868E-2</v>
      </c>
      <c r="E121" s="35">
        <v>213.88</v>
      </c>
      <c r="F121" s="47">
        <f t="shared" si="5"/>
        <v>1.3191087696308773E-2</v>
      </c>
      <c r="G121" s="35">
        <v>22.41</v>
      </c>
      <c r="H121" s="47">
        <f t="shared" si="5"/>
        <v>-6.266806543559377E-3</v>
      </c>
      <c r="I121" s="35">
        <v>7.44</v>
      </c>
      <c r="J121" s="47">
        <f t="shared" si="5"/>
        <v>-4.6776064797730832E-2</v>
      </c>
      <c r="K121" s="35">
        <v>74.400000000000006</v>
      </c>
      <c r="L121" s="47">
        <f t="shared" si="6"/>
        <v>-5.1206148810363939E-3</v>
      </c>
    </row>
    <row r="122" spans="2:12" x14ac:dyDescent="0.35">
      <c r="B122" s="36">
        <v>45208</v>
      </c>
      <c r="C122" s="35">
        <v>13.83</v>
      </c>
      <c r="D122" s="47">
        <f t="shared" si="5"/>
        <v>3.5515096163413737E-2</v>
      </c>
      <c r="E122" s="35">
        <v>213.16</v>
      </c>
      <c r="F122" s="47">
        <f t="shared" si="5"/>
        <v>3.3720526519492866E-3</v>
      </c>
      <c r="G122" s="35">
        <v>21.89</v>
      </c>
      <c r="H122" s="47">
        <f t="shared" si="5"/>
        <v>2.3477376278064139E-2</v>
      </c>
      <c r="I122" s="35">
        <v>7.45</v>
      </c>
      <c r="J122" s="47">
        <f t="shared" si="5"/>
        <v>-1.3431835464676259E-3</v>
      </c>
      <c r="K122" s="35">
        <v>74.209999999999994</v>
      </c>
      <c r="L122" s="47">
        <f t="shared" si="6"/>
        <v>2.5570298570040599E-3</v>
      </c>
    </row>
    <row r="123" spans="2:12" x14ac:dyDescent="0.35">
      <c r="B123" s="36">
        <v>45205</v>
      </c>
      <c r="C123" s="35">
        <v>14.38</v>
      </c>
      <c r="D123" s="47">
        <f t="shared" si="5"/>
        <v>-3.8998206616233877E-2</v>
      </c>
      <c r="E123" s="35">
        <v>209.6</v>
      </c>
      <c r="F123" s="47">
        <f t="shared" si="5"/>
        <v>1.6842104981694403E-2</v>
      </c>
      <c r="G123" s="35">
        <v>21.91</v>
      </c>
      <c r="H123" s="47">
        <f t="shared" si="5"/>
        <v>-9.1324207260351476E-4</v>
      </c>
      <c r="I123" s="35">
        <v>7.2</v>
      </c>
      <c r="J123" s="47">
        <f t="shared" si="5"/>
        <v>3.4133006369458617E-2</v>
      </c>
      <c r="K123" s="35">
        <v>74.62</v>
      </c>
      <c r="L123" s="47">
        <f t="shared" si="6"/>
        <v>-5.5096558109696955E-3</v>
      </c>
    </row>
    <row r="124" spans="2:12" x14ac:dyDescent="0.35">
      <c r="B124" s="36">
        <v>45204</v>
      </c>
      <c r="C124" s="35">
        <v>13.75</v>
      </c>
      <c r="D124" s="47">
        <f t="shared" si="5"/>
        <v>4.4799528180320486E-2</v>
      </c>
      <c r="E124" s="35">
        <v>201.4</v>
      </c>
      <c r="F124" s="47">
        <f t="shared" si="5"/>
        <v>3.9907972162425205E-2</v>
      </c>
      <c r="G124" s="35">
        <v>21.37</v>
      </c>
      <c r="H124" s="47">
        <f t="shared" si="5"/>
        <v>2.4955084276318911E-2</v>
      </c>
      <c r="I124" s="35">
        <v>7.33</v>
      </c>
      <c r="J124" s="47">
        <f t="shared" si="5"/>
        <v>-1.789448987655053E-2</v>
      </c>
      <c r="K124" s="35">
        <v>72.650000000000006</v>
      </c>
      <c r="L124" s="47">
        <f t="shared" si="6"/>
        <v>2.6755177776719857E-2</v>
      </c>
    </row>
    <row r="125" spans="2:12" x14ac:dyDescent="0.35">
      <c r="B125" s="36">
        <v>45203</v>
      </c>
      <c r="C125" s="35">
        <v>14</v>
      </c>
      <c r="D125" s="47">
        <f t="shared" si="5"/>
        <v>-1.8018505502678365E-2</v>
      </c>
      <c r="E125" s="35">
        <v>200.48</v>
      </c>
      <c r="F125" s="47">
        <f t="shared" si="5"/>
        <v>4.5784891367037896E-3</v>
      </c>
      <c r="G125" s="35">
        <v>21.24</v>
      </c>
      <c r="H125" s="47">
        <f t="shared" si="5"/>
        <v>6.1018729573183968E-3</v>
      </c>
      <c r="I125" s="35">
        <v>7.55</v>
      </c>
      <c r="J125" s="47">
        <f t="shared" si="5"/>
        <v>-2.9572047362373226E-2</v>
      </c>
      <c r="K125" s="35">
        <v>72.099999999999994</v>
      </c>
      <c r="L125" s="47">
        <f t="shared" si="6"/>
        <v>7.5993457253887356E-3</v>
      </c>
    </row>
    <row r="126" spans="2:12" x14ac:dyDescent="0.35">
      <c r="B126" s="36">
        <v>45202</v>
      </c>
      <c r="C126" s="35">
        <v>14.03</v>
      </c>
      <c r="D126" s="47">
        <f t="shared" si="5"/>
        <v>-2.1405644991108769E-3</v>
      </c>
      <c r="E126" s="35">
        <v>200.25</v>
      </c>
      <c r="F126" s="47">
        <f t="shared" si="5"/>
        <v>1.1479051992894739E-3</v>
      </c>
      <c r="G126" s="35">
        <v>21.34</v>
      </c>
      <c r="H126" s="47">
        <f t="shared" si="5"/>
        <v>-4.6970494998692675E-3</v>
      </c>
      <c r="I126" s="35">
        <v>7.6</v>
      </c>
      <c r="J126" s="47">
        <f t="shared" si="5"/>
        <v>-6.6006840313520242E-3</v>
      </c>
      <c r="K126" s="35">
        <v>73.5</v>
      </c>
      <c r="L126" s="47">
        <f t="shared" si="6"/>
        <v>-1.9231361927887644E-2</v>
      </c>
    </row>
    <row r="127" spans="2:12" x14ac:dyDescent="0.35">
      <c r="B127" s="36">
        <v>45201</v>
      </c>
      <c r="C127" s="35">
        <v>14.95</v>
      </c>
      <c r="D127" s="47">
        <f t="shared" si="5"/>
        <v>-6.3513405722325861E-2</v>
      </c>
      <c r="E127" s="35">
        <v>201.18</v>
      </c>
      <c r="F127" s="47">
        <f t="shared" si="5"/>
        <v>-4.6334437577236296E-3</v>
      </c>
      <c r="G127" s="35">
        <v>21.19</v>
      </c>
      <c r="H127" s="47">
        <f t="shared" si="5"/>
        <v>7.0538735933995816E-3</v>
      </c>
      <c r="I127" s="35">
        <v>7.78</v>
      </c>
      <c r="J127" s="47">
        <f t="shared" si="5"/>
        <v>-2.340809089801496E-2</v>
      </c>
      <c r="K127" s="35">
        <v>73.8</v>
      </c>
      <c r="L127" s="47">
        <f t="shared" si="6"/>
        <v>-4.0733253876357864E-3</v>
      </c>
    </row>
    <row r="128" spans="2:12" x14ac:dyDescent="0.35">
      <c r="B128" s="36">
        <v>45198</v>
      </c>
      <c r="C128" s="35">
        <v>15.07</v>
      </c>
      <c r="D128" s="47">
        <f t="shared" si="5"/>
        <v>-7.9947128017086987E-3</v>
      </c>
      <c r="E128" s="35">
        <v>203.45</v>
      </c>
      <c r="F128" s="47">
        <f t="shared" si="5"/>
        <v>-1.1220244741506647E-2</v>
      </c>
      <c r="G128" s="35">
        <v>21.22</v>
      </c>
      <c r="H128" s="47">
        <f t="shared" si="5"/>
        <v>-1.4147609056292673E-3</v>
      </c>
      <c r="I128" s="35">
        <v>7.99</v>
      </c>
      <c r="J128" s="47">
        <f t="shared" si="5"/>
        <v>-2.6634421587883064E-2</v>
      </c>
      <c r="K128" s="35">
        <v>73.05</v>
      </c>
      <c r="L128" s="47">
        <f t="shared" si="6"/>
        <v>1.021459340971842E-2</v>
      </c>
    </row>
    <row r="129" spans="2:12" x14ac:dyDescent="0.35">
      <c r="B129" s="36">
        <v>45197</v>
      </c>
      <c r="C129" s="35">
        <v>15.18</v>
      </c>
      <c r="D129" s="47">
        <f t="shared" si="5"/>
        <v>-7.2727593290796968E-3</v>
      </c>
      <c r="E129" s="35">
        <v>202.84</v>
      </c>
      <c r="F129" s="47">
        <f t="shared" si="5"/>
        <v>3.0027835208805121E-3</v>
      </c>
      <c r="G129" s="35">
        <v>20.99</v>
      </c>
      <c r="H129" s="47">
        <f t="shared" si="5"/>
        <v>1.0897999353295492E-2</v>
      </c>
      <c r="I129" s="35">
        <v>8</v>
      </c>
      <c r="J129" s="47">
        <f t="shared" si="5"/>
        <v>-1.2507819016526025E-3</v>
      </c>
      <c r="K129" s="35">
        <v>74.33</v>
      </c>
      <c r="L129" s="47">
        <f t="shared" si="6"/>
        <v>-1.7370500540493626E-2</v>
      </c>
    </row>
    <row r="130" spans="2:12" x14ac:dyDescent="0.35">
      <c r="B130" s="36">
        <v>45196</v>
      </c>
      <c r="C130" s="35">
        <v>15.07</v>
      </c>
      <c r="D130" s="47">
        <f t="shared" si="5"/>
        <v>7.2727593290796569E-3</v>
      </c>
      <c r="E130" s="35">
        <v>201.84</v>
      </c>
      <c r="F130" s="47">
        <f t="shared" si="5"/>
        <v>4.9421865940161023E-3</v>
      </c>
      <c r="G130" s="35">
        <v>20.64</v>
      </c>
      <c r="H130" s="47">
        <f t="shared" si="5"/>
        <v>1.6815193219179556E-2</v>
      </c>
      <c r="I130" s="35">
        <v>7.89</v>
      </c>
      <c r="J130" s="47">
        <f t="shared" si="5"/>
        <v>1.3845406822053135E-2</v>
      </c>
      <c r="K130" s="35">
        <v>75.59</v>
      </c>
      <c r="L130" s="47">
        <f t="shared" si="6"/>
        <v>-1.6809360566883313E-2</v>
      </c>
    </row>
    <row r="131" spans="2:12" x14ac:dyDescent="0.35">
      <c r="B131" s="36">
        <v>45195</v>
      </c>
      <c r="C131" s="35">
        <v>15.07</v>
      </c>
      <c r="D131" s="47">
        <f t="shared" si="5"/>
        <v>0</v>
      </c>
      <c r="E131" s="35">
        <v>199.39</v>
      </c>
      <c r="F131" s="47">
        <f t="shared" si="5"/>
        <v>1.2212598513994498E-2</v>
      </c>
      <c r="G131" s="35">
        <v>19.86</v>
      </c>
      <c r="H131" s="47">
        <f t="shared" si="5"/>
        <v>3.8523281996335458E-2</v>
      </c>
      <c r="I131" s="35">
        <v>7.8</v>
      </c>
      <c r="J131" s="47">
        <f t="shared" si="5"/>
        <v>1.1472401162236781E-2</v>
      </c>
      <c r="K131" s="35">
        <v>74</v>
      </c>
      <c r="L131" s="47">
        <f t="shared" si="6"/>
        <v>2.1258906099915639E-2</v>
      </c>
    </row>
    <row r="132" spans="2:12" x14ac:dyDescent="0.35">
      <c r="B132" s="36">
        <v>45194</v>
      </c>
      <c r="C132" s="35">
        <v>15.8</v>
      </c>
      <c r="D132" s="47">
        <f t="shared" si="5"/>
        <v>-4.7303927394517054E-2</v>
      </c>
      <c r="E132" s="35">
        <v>203.95</v>
      </c>
      <c r="F132" s="47">
        <f t="shared" si="5"/>
        <v>-2.2612159944759527E-2</v>
      </c>
      <c r="G132" s="35">
        <v>20.16</v>
      </c>
      <c r="H132" s="47">
        <f t="shared" si="5"/>
        <v>-1.4992784586141393E-2</v>
      </c>
      <c r="I132" s="35">
        <v>7.9</v>
      </c>
      <c r="J132" s="47">
        <f t="shared" ref="J132" si="7">IFERROR(LN(I131/I132),"")</f>
        <v>-1.2739025777429826E-2</v>
      </c>
      <c r="K132" s="35">
        <v>73.69</v>
      </c>
      <c r="L132" s="47">
        <f t="shared" si="6"/>
        <v>4.1979884252618454E-3</v>
      </c>
    </row>
    <row r="133" spans="2:12" x14ac:dyDescent="0.35">
      <c r="B133" s="36">
        <v>45191</v>
      </c>
      <c r="C133" s="35">
        <v>15.58</v>
      </c>
      <c r="D133" s="47">
        <f t="shared" ref="D133:J196" si="8">IFERROR(LN(C132/C133),"")</f>
        <v>1.4021899590318984E-2</v>
      </c>
      <c r="E133" s="35">
        <v>203.14</v>
      </c>
      <c r="F133" s="47">
        <f t="shared" si="8"/>
        <v>3.979469252212469E-3</v>
      </c>
      <c r="G133" s="35">
        <v>19.89</v>
      </c>
      <c r="H133" s="47">
        <f t="shared" si="8"/>
        <v>1.3483350337286988E-2</v>
      </c>
      <c r="I133" s="35">
        <v>7.89</v>
      </c>
      <c r="J133" s="47">
        <f t="shared" si="8"/>
        <v>1.2666246151929834E-3</v>
      </c>
      <c r="K133" s="35">
        <v>72.650000000000006</v>
      </c>
      <c r="L133" s="47">
        <f t="shared" ref="L133:L196" si="9">IFERROR(LN(K132/K133),"")</f>
        <v>1.4213714762616011E-2</v>
      </c>
    </row>
    <row r="134" spans="2:12" x14ac:dyDescent="0.35">
      <c r="B134" s="36">
        <v>45190</v>
      </c>
      <c r="C134" s="35">
        <v>15.08</v>
      </c>
      <c r="D134" s="47">
        <f t="shared" si="8"/>
        <v>3.2618677862792184E-2</v>
      </c>
      <c r="E134" s="35">
        <v>203.2</v>
      </c>
      <c r="F134" s="47">
        <f t="shared" si="8"/>
        <v>-2.9531919297175532E-4</v>
      </c>
      <c r="G134" s="35">
        <v>20.079999999999998</v>
      </c>
      <c r="H134" s="47">
        <f t="shared" si="8"/>
        <v>-9.5072019576474941E-3</v>
      </c>
      <c r="I134" s="35">
        <v>7.81</v>
      </c>
      <c r="J134" s="47">
        <f t="shared" si="8"/>
        <v>1.0191171006188283E-2</v>
      </c>
      <c r="K134" s="35">
        <v>72.19</v>
      </c>
      <c r="L134" s="47">
        <f t="shared" si="9"/>
        <v>6.3518578652224768E-3</v>
      </c>
    </row>
    <row r="135" spans="2:12" x14ac:dyDescent="0.35">
      <c r="B135" s="36">
        <v>45189</v>
      </c>
      <c r="C135" s="35">
        <v>15.79</v>
      </c>
      <c r="D135" s="47">
        <f t="shared" si="8"/>
        <v>-4.6007465687740702E-2</v>
      </c>
      <c r="E135" s="35">
        <v>209.49</v>
      </c>
      <c r="F135" s="47">
        <f t="shared" si="8"/>
        <v>-3.0485289821726918E-2</v>
      </c>
      <c r="G135" s="35">
        <v>20.25</v>
      </c>
      <c r="H135" s="47">
        <f t="shared" si="8"/>
        <v>-8.430498729019742E-3</v>
      </c>
      <c r="I135" s="35">
        <v>7.77</v>
      </c>
      <c r="J135" s="47">
        <f t="shared" si="8"/>
        <v>5.1347994720384402E-3</v>
      </c>
      <c r="K135" s="35">
        <v>70.97</v>
      </c>
      <c r="L135" s="47">
        <f t="shared" si="9"/>
        <v>1.70442796141781E-2</v>
      </c>
    </row>
    <row r="136" spans="2:12" x14ac:dyDescent="0.35">
      <c r="B136" s="36">
        <v>45188</v>
      </c>
      <c r="C136" s="35">
        <v>16</v>
      </c>
      <c r="D136" s="47">
        <f t="shared" si="8"/>
        <v>-1.3211893972230569E-2</v>
      </c>
      <c r="E136" s="35">
        <v>209.51</v>
      </c>
      <c r="F136" s="47">
        <f t="shared" si="8"/>
        <v>-9.5465393867184806E-5</v>
      </c>
      <c r="G136" s="35">
        <v>20.399999999999999</v>
      </c>
      <c r="H136" s="47">
        <f t="shared" si="8"/>
        <v>-7.3801072976225337E-3</v>
      </c>
      <c r="I136" s="35">
        <v>7.9</v>
      </c>
      <c r="J136" s="47">
        <f t="shared" si="8"/>
        <v>-1.6592595093419826E-2</v>
      </c>
      <c r="K136" s="35">
        <v>70.95</v>
      </c>
      <c r="L136" s="47">
        <f t="shared" si="9"/>
        <v>2.8184893083991488E-4</v>
      </c>
    </row>
    <row r="137" spans="2:12" x14ac:dyDescent="0.35">
      <c r="B137" s="36">
        <v>45187</v>
      </c>
      <c r="C137" s="35">
        <v>16.02</v>
      </c>
      <c r="D137" s="47">
        <f t="shared" si="8"/>
        <v>-1.2492194004319278E-3</v>
      </c>
      <c r="E137" s="35">
        <v>208.19</v>
      </c>
      <c r="F137" s="47">
        <f t="shared" si="8"/>
        <v>6.3203466322387164E-3</v>
      </c>
      <c r="G137" s="35">
        <v>20.76</v>
      </c>
      <c r="H137" s="47">
        <f t="shared" si="8"/>
        <v>-1.7493157447517345E-2</v>
      </c>
      <c r="I137" s="35">
        <v>7.85</v>
      </c>
      <c r="J137" s="47">
        <f t="shared" si="8"/>
        <v>6.3492276786587445E-3</v>
      </c>
      <c r="K137" s="35">
        <v>67.81</v>
      </c>
      <c r="L137" s="47">
        <f t="shared" si="9"/>
        <v>4.5265726910301E-2</v>
      </c>
    </row>
    <row r="138" spans="2:12" x14ac:dyDescent="0.35">
      <c r="B138" s="36">
        <v>45184</v>
      </c>
      <c r="C138" s="35">
        <v>15.48</v>
      </c>
      <c r="D138" s="47">
        <f t="shared" si="8"/>
        <v>3.428907347863195E-2</v>
      </c>
      <c r="E138" s="35">
        <v>209.01</v>
      </c>
      <c r="F138" s="47">
        <f t="shared" si="8"/>
        <v>-3.9309734224549512E-3</v>
      </c>
      <c r="G138" s="35">
        <v>21.22</v>
      </c>
      <c r="H138" s="47">
        <f t="shared" si="8"/>
        <v>-2.1916074888149097E-2</v>
      </c>
      <c r="I138" s="35">
        <v>8.11</v>
      </c>
      <c r="J138" s="47">
        <f t="shared" si="8"/>
        <v>-3.2584336333004477E-2</v>
      </c>
      <c r="K138" s="35">
        <v>69.03</v>
      </c>
      <c r="L138" s="47">
        <f t="shared" si="9"/>
        <v>-1.7831516019633439E-2</v>
      </c>
    </row>
    <row r="139" spans="2:12" x14ac:dyDescent="0.35">
      <c r="B139" s="36">
        <v>45183</v>
      </c>
      <c r="C139" s="35">
        <v>16.14</v>
      </c>
      <c r="D139" s="47">
        <f t="shared" si="8"/>
        <v>-4.17517946802217E-2</v>
      </c>
      <c r="E139" s="35">
        <v>211.16</v>
      </c>
      <c r="F139" s="47">
        <f t="shared" si="8"/>
        <v>-1.0234042245278237E-2</v>
      </c>
      <c r="G139" s="35">
        <v>21.48</v>
      </c>
      <c r="H139" s="47">
        <f t="shared" si="8"/>
        <v>-1.2178136454826934E-2</v>
      </c>
      <c r="I139" s="35">
        <v>8.27</v>
      </c>
      <c r="J139" s="47">
        <f t="shared" si="8"/>
        <v>-1.9536640908278467E-2</v>
      </c>
      <c r="K139" s="35">
        <v>68.599999999999994</v>
      </c>
      <c r="L139" s="47">
        <f t="shared" si="9"/>
        <v>6.2486579835447824E-3</v>
      </c>
    </row>
    <row r="140" spans="2:12" x14ac:dyDescent="0.35">
      <c r="B140" s="36">
        <v>45182</v>
      </c>
      <c r="C140" s="35">
        <v>16.36</v>
      </c>
      <c r="D140" s="47">
        <f t="shared" si="8"/>
        <v>-1.353866833279818E-2</v>
      </c>
      <c r="E140" s="35">
        <v>215.29</v>
      </c>
      <c r="F140" s="47">
        <f t="shared" si="8"/>
        <v>-1.936981651782204E-2</v>
      </c>
      <c r="G140" s="35">
        <v>21.53</v>
      </c>
      <c r="H140" s="47">
        <f t="shared" si="8"/>
        <v>-2.3250417356077235E-3</v>
      </c>
      <c r="I140" s="35">
        <v>8.31</v>
      </c>
      <c r="J140" s="47">
        <f t="shared" si="8"/>
        <v>-4.8250998317570203E-3</v>
      </c>
      <c r="K140" s="35">
        <v>70.14</v>
      </c>
      <c r="L140" s="47">
        <f t="shared" si="9"/>
        <v>-2.2200709980192645E-2</v>
      </c>
    </row>
    <row r="141" spans="2:12" x14ac:dyDescent="0.35">
      <c r="B141" s="36">
        <v>45181</v>
      </c>
      <c r="C141" s="35">
        <v>16.59</v>
      </c>
      <c r="D141" s="47">
        <f t="shared" si="8"/>
        <v>-1.3960773027752147E-2</v>
      </c>
      <c r="E141" s="35">
        <v>215.73</v>
      </c>
      <c r="F141" s="47">
        <f t="shared" si="8"/>
        <v>-2.0416693092747749E-3</v>
      </c>
      <c r="G141" s="35">
        <v>22.03</v>
      </c>
      <c r="H141" s="47">
        <f t="shared" si="8"/>
        <v>-2.2957849437980085E-2</v>
      </c>
      <c r="I141" s="35">
        <v>9.07</v>
      </c>
      <c r="J141" s="47">
        <f t="shared" si="8"/>
        <v>-8.7512655259688418E-2</v>
      </c>
      <c r="K141" s="35">
        <v>70.599999999999994</v>
      </c>
      <c r="L141" s="47">
        <f t="shared" si="9"/>
        <v>-6.5368997871642284E-3</v>
      </c>
    </row>
    <row r="142" spans="2:12" x14ac:dyDescent="0.35">
      <c r="B142" s="36">
        <v>45180</v>
      </c>
      <c r="C142" s="35">
        <v>17.03</v>
      </c>
      <c r="D142" s="47">
        <f t="shared" si="8"/>
        <v>-2.6176390472243825E-2</v>
      </c>
      <c r="E142" s="35">
        <v>224.9</v>
      </c>
      <c r="F142" s="47">
        <f t="shared" si="8"/>
        <v>-4.1628233182757712E-2</v>
      </c>
      <c r="G142" s="35">
        <v>22.7</v>
      </c>
      <c r="H142" s="47">
        <f t="shared" si="8"/>
        <v>-2.9959763673105107E-2</v>
      </c>
      <c r="I142" s="35">
        <v>9.0399999999999991</v>
      </c>
      <c r="J142" s="47">
        <f t="shared" si="8"/>
        <v>3.3130897229601943E-3</v>
      </c>
      <c r="K142" s="35">
        <v>70.040000000000006</v>
      </c>
      <c r="L142" s="47">
        <f t="shared" si="9"/>
        <v>7.9636370815451708E-3</v>
      </c>
    </row>
    <row r="143" spans="2:12" x14ac:dyDescent="0.35">
      <c r="B143" s="36">
        <v>45177</v>
      </c>
      <c r="C143" s="35">
        <v>16.79</v>
      </c>
      <c r="D143" s="47">
        <f t="shared" si="8"/>
        <v>1.4193023585147631E-2</v>
      </c>
      <c r="E143" s="35">
        <v>220.31</v>
      </c>
      <c r="F143" s="47">
        <f t="shared" si="8"/>
        <v>2.0620213540796337E-2</v>
      </c>
      <c r="G143" s="35">
        <v>22.69</v>
      </c>
      <c r="H143" s="47">
        <f t="shared" si="8"/>
        <v>4.4062569560662535E-4</v>
      </c>
      <c r="I143" s="35">
        <v>8.92</v>
      </c>
      <c r="J143" s="47">
        <f t="shared" si="8"/>
        <v>1.3363227812166938E-2</v>
      </c>
      <c r="K143" s="35">
        <v>68.03</v>
      </c>
      <c r="L143" s="47">
        <f t="shared" si="9"/>
        <v>2.9117723060681659E-2</v>
      </c>
    </row>
    <row r="144" spans="2:12" x14ac:dyDescent="0.35">
      <c r="B144" s="36">
        <v>45176</v>
      </c>
      <c r="C144" s="35">
        <v>16.96</v>
      </c>
      <c r="D144" s="47">
        <f t="shared" si="8"/>
        <v>-1.007415927430765E-2</v>
      </c>
      <c r="E144" s="35">
        <v>222</v>
      </c>
      <c r="F144" s="47">
        <f t="shared" si="8"/>
        <v>-7.6417364478056958E-3</v>
      </c>
      <c r="G144" s="35">
        <v>23.57</v>
      </c>
      <c r="H144" s="47">
        <f t="shared" si="8"/>
        <v>-3.8050418156289345E-2</v>
      </c>
      <c r="I144" s="35">
        <v>8.9049999999999994</v>
      </c>
      <c r="J144" s="47">
        <f t="shared" si="8"/>
        <v>1.6830298502931785E-3</v>
      </c>
      <c r="K144" s="35">
        <v>71.38</v>
      </c>
      <c r="L144" s="47">
        <f t="shared" si="9"/>
        <v>-4.8068933705044753E-2</v>
      </c>
    </row>
    <row r="145" spans="2:12" x14ac:dyDescent="0.35">
      <c r="B145" s="36">
        <v>45175</v>
      </c>
      <c r="C145" s="35">
        <v>17.010000000000002</v>
      </c>
      <c r="D145" s="47">
        <f t="shared" si="8"/>
        <v>-2.9437760440133992E-3</v>
      </c>
      <c r="E145" s="35">
        <v>222.47</v>
      </c>
      <c r="F145" s="47">
        <f t="shared" si="8"/>
        <v>-2.1148791827627121E-3</v>
      </c>
      <c r="G145" s="35">
        <v>24.06</v>
      </c>
      <c r="H145" s="47">
        <f t="shared" si="8"/>
        <v>-2.0575993598493006E-2</v>
      </c>
      <c r="I145" s="35">
        <v>9.0399999999999991</v>
      </c>
      <c r="J145" s="47">
        <f t="shared" si="8"/>
        <v>-1.5046257662460108E-2</v>
      </c>
      <c r="K145" s="35">
        <v>69.349999999999994</v>
      </c>
      <c r="L145" s="47">
        <f t="shared" si="9"/>
        <v>2.8851571301173617E-2</v>
      </c>
    </row>
    <row r="146" spans="2:12" x14ac:dyDescent="0.35">
      <c r="B146" s="36">
        <v>45174</v>
      </c>
      <c r="C146" s="35">
        <v>17.23</v>
      </c>
      <c r="D146" s="47">
        <f t="shared" si="8"/>
        <v>-1.285064413206782E-2</v>
      </c>
      <c r="E146" s="35">
        <v>219.85</v>
      </c>
      <c r="F146" s="47">
        <f t="shared" si="8"/>
        <v>1.1846765428223115E-2</v>
      </c>
      <c r="G146" s="35">
        <v>24.19</v>
      </c>
      <c r="H146" s="47">
        <f t="shared" si="8"/>
        <v>-5.3886140754032036E-3</v>
      </c>
      <c r="I146" s="35">
        <v>9.1</v>
      </c>
      <c r="J146" s="47">
        <f t="shared" si="8"/>
        <v>-6.6152391187193167E-3</v>
      </c>
      <c r="K146" s="35">
        <v>66.84</v>
      </c>
      <c r="L146" s="47">
        <f t="shared" si="9"/>
        <v>3.6864443033647408E-2</v>
      </c>
    </row>
    <row r="147" spans="2:12" x14ac:dyDescent="0.35">
      <c r="B147" s="36">
        <v>45170</v>
      </c>
      <c r="C147" s="35">
        <v>17.61</v>
      </c>
      <c r="D147" s="47">
        <f t="shared" si="8"/>
        <v>-2.181487196827642E-2</v>
      </c>
      <c r="E147" s="35">
        <v>216.57</v>
      </c>
      <c r="F147" s="47">
        <f t="shared" si="8"/>
        <v>1.5031674807639773E-2</v>
      </c>
      <c r="G147" s="35">
        <v>24.36</v>
      </c>
      <c r="H147" s="47">
        <f t="shared" si="8"/>
        <v>-7.0031182197603514E-3</v>
      </c>
      <c r="I147" s="35">
        <v>9.2200000000000006</v>
      </c>
      <c r="J147" s="47">
        <f t="shared" si="8"/>
        <v>-1.3100624045698206E-2</v>
      </c>
      <c r="K147" s="35">
        <v>66.42</v>
      </c>
      <c r="L147" s="47">
        <f t="shared" si="9"/>
        <v>6.3034877785925246E-3</v>
      </c>
    </row>
    <row r="148" spans="2:12" x14ac:dyDescent="0.35">
      <c r="B148" s="36">
        <v>45169</v>
      </c>
      <c r="C148" s="35">
        <v>17.239999999999998</v>
      </c>
      <c r="D148" s="47">
        <f t="shared" si="8"/>
        <v>2.1234657272567736E-2</v>
      </c>
      <c r="E148" s="35">
        <v>208.7</v>
      </c>
      <c r="F148" s="47">
        <f t="shared" si="8"/>
        <v>3.7016006736024343E-2</v>
      </c>
      <c r="G148" s="35">
        <v>23.84</v>
      </c>
      <c r="H148" s="47">
        <f t="shared" si="8"/>
        <v>2.1577600644547151E-2</v>
      </c>
      <c r="I148" s="35">
        <v>9.4</v>
      </c>
      <c r="J148" s="47">
        <f t="shared" si="8"/>
        <v>-1.9334651707455724E-2</v>
      </c>
      <c r="K148" s="35">
        <v>67.55</v>
      </c>
      <c r="L148" s="47">
        <f t="shared" si="9"/>
        <v>-1.6869848457607271E-2</v>
      </c>
    </row>
    <row r="149" spans="2:12" x14ac:dyDescent="0.35">
      <c r="B149" s="36">
        <v>45168</v>
      </c>
      <c r="C149" s="35">
        <v>17.190000000000001</v>
      </c>
      <c r="D149" s="47">
        <f t="shared" si="8"/>
        <v>2.9044458407889019E-3</v>
      </c>
      <c r="E149" s="35">
        <v>192.59</v>
      </c>
      <c r="F149" s="47">
        <f t="shared" si="8"/>
        <v>8.0334237147034263E-2</v>
      </c>
      <c r="G149" s="35">
        <v>24.06</v>
      </c>
      <c r="H149" s="47">
        <f t="shared" si="8"/>
        <v>-9.1858683493837179E-3</v>
      </c>
      <c r="I149" s="35">
        <v>9.5500000000000007</v>
      </c>
      <c r="J149" s="47">
        <f t="shared" si="8"/>
        <v>-1.5831465216680739E-2</v>
      </c>
      <c r="K149" s="35">
        <v>68.099999999999994</v>
      </c>
      <c r="L149" s="47">
        <f t="shared" si="9"/>
        <v>-8.1091487492587697E-3</v>
      </c>
    </row>
    <row r="150" spans="2:12" x14ac:dyDescent="0.35">
      <c r="B150" s="36">
        <v>45167</v>
      </c>
      <c r="C150" s="35">
        <v>17.059999999999999</v>
      </c>
      <c r="D150" s="47">
        <f t="shared" si="8"/>
        <v>7.5912773312249091E-3</v>
      </c>
      <c r="E150" s="35">
        <v>193.03</v>
      </c>
      <c r="F150" s="47">
        <f t="shared" si="8"/>
        <v>-2.2820403036630664E-3</v>
      </c>
      <c r="G150" s="35">
        <v>23.93</v>
      </c>
      <c r="H150" s="47">
        <f t="shared" si="8"/>
        <v>5.4178086262508304E-3</v>
      </c>
      <c r="I150" s="35">
        <v>9.4649999999999999</v>
      </c>
      <c r="J150" s="47">
        <f t="shared" si="8"/>
        <v>8.9403698313528217E-3</v>
      </c>
      <c r="K150" s="35">
        <v>68.45</v>
      </c>
      <c r="L150" s="47">
        <f t="shared" si="9"/>
        <v>-5.1263385789913681E-3</v>
      </c>
    </row>
    <row r="151" spans="2:12" x14ac:dyDescent="0.35">
      <c r="B151" s="36">
        <v>45166</v>
      </c>
      <c r="C151" s="35">
        <v>16.75</v>
      </c>
      <c r="D151" s="47">
        <f t="shared" si="8"/>
        <v>1.8338283792457565E-2</v>
      </c>
      <c r="E151" s="35">
        <v>190.39</v>
      </c>
      <c r="F151" s="47">
        <f t="shared" si="8"/>
        <v>1.3771017270198771E-2</v>
      </c>
      <c r="G151" s="35">
        <v>23.56</v>
      </c>
      <c r="H151" s="47">
        <f t="shared" si="8"/>
        <v>1.5582543136896007E-2</v>
      </c>
      <c r="I151" s="35">
        <v>9.5500000000000007</v>
      </c>
      <c r="J151" s="47">
        <f t="shared" si="8"/>
        <v>-8.9403698313528235E-3</v>
      </c>
      <c r="K151" s="35">
        <v>67.94</v>
      </c>
      <c r="L151" s="47">
        <f t="shared" si="9"/>
        <v>7.4785890020200915E-3</v>
      </c>
    </row>
    <row r="152" spans="2:12" x14ac:dyDescent="0.35">
      <c r="B152" s="36">
        <v>45163</v>
      </c>
      <c r="C152" s="35">
        <v>16.329999999999998</v>
      </c>
      <c r="D152" s="47">
        <f t="shared" si="8"/>
        <v>2.5394351288701822E-2</v>
      </c>
      <c r="E152" s="35">
        <v>189.13</v>
      </c>
      <c r="F152" s="47">
        <f t="shared" si="8"/>
        <v>6.6399906692221032E-3</v>
      </c>
      <c r="G152" s="35">
        <v>23.44</v>
      </c>
      <c r="H152" s="47">
        <f t="shared" si="8"/>
        <v>5.1063940745740555E-3</v>
      </c>
      <c r="I152" s="35">
        <v>9.3800000000000008</v>
      </c>
      <c r="J152" s="47">
        <f t="shared" si="8"/>
        <v>1.796139147450564E-2</v>
      </c>
      <c r="K152" s="35">
        <v>68.150000000000006</v>
      </c>
      <c r="L152" s="47">
        <f t="shared" si="9"/>
        <v>-3.0861954101039004E-3</v>
      </c>
    </row>
    <row r="153" spans="2:12" x14ac:dyDescent="0.35">
      <c r="B153" s="36">
        <v>45162</v>
      </c>
      <c r="C153" s="35">
        <v>16.309999999999999</v>
      </c>
      <c r="D153" s="47">
        <f t="shared" si="8"/>
        <v>1.2254903494512031E-3</v>
      </c>
      <c r="E153" s="35">
        <v>186.39</v>
      </c>
      <c r="F153" s="47">
        <f t="shared" si="8"/>
        <v>1.4593356556650968E-2</v>
      </c>
      <c r="G153" s="35">
        <v>23.31</v>
      </c>
      <c r="H153" s="47">
        <f t="shared" si="8"/>
        <v>5.5615116611462132E-3</v>
      </c>
      <c r="I153" s="35">
        <v>9.39</v>
      </c>
      <c r="J153" s="47">
        <f t="shared" si="8"/>
        <v>-1.0655302020381736E-3</v>
      </c>
      <c r="K153" s="35">
        <v>66.709999999999994</v>
      </c>
      <c r="L153" s="47">
        <f t="shared" si="9"/>
        <v>2.1356291421117772E-2</v>
      </c>
    </row>
    <row r="154" spans="2:12" x14ac:dyDescent="0.35">
      <c r="B154" s="36">
        <v>45161</v>
      </c>
      <c r="C154" s="35">
        <v>16.489999999999998</v>
      </c>
      <c r="D154" s="47">
        <f t="shared" si="8"/>
        <v>-1.0975719938584993E-2</v>
      </c>
      <c r="E154" s="35">
        <v>187.6</v>
      </c>
      <c r="F154" s="47">
        <f t="shared" si="8"/>
        <v>-6.4707838284122016E-3</v>
      </c>
      <c r="G154" s="35">
        <v>23.91</v>
      </c>
      <c r="H154" s="47">
        <f t="shared" si="8"/>
        <v>-2.5414328422567693E-2</v>
      </c>
      <c r="I154" s="35">
        <v>9.4499999999999993</v>
      </c>
      <c r="J154" s="47">
        <f t="shared" si="8"/>
        <v>-6.3694482854797117E-3</v>
      </c>
      <c r="K154" s="35">
        <v>67.11</v>
      </c>
      <c r="L154" s="47">
        <f t="shared" si="9"/>
        <v>-5.9781974487239211E-3</v>
      </c>
    </row>
    <row r="155" spans="2:12" x14ac:dyDescent="0.35">
      <c r="B155" s="36">
        <v>45160</v>
      </c>
      <c r="C155" s="35">
        <v>16.54</v>
      </c>
      <c r="D155" s="47">
        <f t="shared" si="8"/>
        <v>-3.0275530240378165E-3</v>
      </c>
      <c r="E155" s="35">
        <v>187.27</v>
      </c>
      <c r="F155" s="47">
        <f t="shared" si="8"/>
        <v>1.7606107997071134E-3</v>
      </c>
      <c r="G155" s="35">
        <v>23.37</v>
      </c>
      <c r="H155" s="47">
        <f t="shared" si="8"/>
        <v>2.2843632919466828E-2</v>
      </c>
      <c r="I155" s="35">
        <v>10.15</v>
      </c>
      <c r="J155" s="47">
        <f t="shared" si="8"/>
        <v>-7.1458963982145102E-2</v>
      </c>
      <c r="K155" s="35">
        <v>67.67</v>
      </c>
      <c r="L155" s="47">
        <f t="shared" si="9"/>
        <v>-8.3098860739862293E-3</v>
      </c>
    </row>
    <row r="156" spans="2:12" x14ac:dyDescent="0.35">
      <c r="B156" s="36">
        <v>45159</v>
      </c>
      <c r="C156" s="35">
        <v>16.71</v>
      </c>
      <c r="D156" s="47">
        <f t="shared" si="8"/>
        <v>-1.022565301175715E-2</v>
      </c>
      <c r="E156" s="35">
        <v>188.06</v>
      </c>
      <c r="F156" s="47">
        <f t="shared" si="8"/>
        <v>-4.2096350765137413E-3</v>
      </c>
      <c r="G156" s="35">
        <v>23.08</v>
      </c>
      <c r="H156" s="47">
        <f t="shared" si="8"/>
        <v>1.2486706910867999E-2</v>
      </c>
      <c r="I156" s="35">
        <v>9.98</v>
      </c>
      <c r="J156" s="47">
        <f t="shared" si="8"/>
        <v>1.6890615164423802E-2</v>
      </c>
      <c r="K156" s="35">
        <v>69.819999999999993</v>
      </c>
      <c r="L156" s="47">
        <f t="shared" si="9"/>
        <v>-3.1277551432755679E-2</v>
      </c>
    </row>
    <row r="157" spans="2:12" x14ac:dyDescent="0.35">
      <c r="B157" s="36">
        <v>45156</v>
      </c>
      <c r="C157" s="35">
        <v>16.25</v>
      </c>
      <c r="D157" s="47">
        <f t="shared" si="8"/>
        <v>2.791443383155591E-2</v>
      </c>
      <c r="E157" s="35">
        <v>186.97</v>
      </c>
      <c r="F157" s="47">
        <f t="shared" si="8"/>
        <v>5.812884671748105E-3</v>
      </c>
      <c r="G157" s="35">
        <v>22.27</v>
      </c>
      <c r="H157" s="47">
        <f t="shared" si="8"/>
        <v>3.5725960370622568E-2</v>
      </c>
      <c r="I157" s="35">
        <v>9.9</v>
      </c>
      <c r="J157" s="47">
        <f t="shared" si="8"/>
        <v>8.0483331828284151E-3</v>
      </c>
      <c r="K157" s="35">
        <v>67.099999999999994</v>
      </c>
      <c r="L157" s="47">
        <f t="shared" si="9"/>
        <v>3.9736457699253887E-2</v>
      </c>
    </row>
    <row r="158" spans="2:12" x14ac:dyDescent="0.35">
      <c r="B158" s="36">
        <v>45155</v>
      </c>
      <c r="C158" s="35">
        <v>16.14</v>
      </c>
      <c r="D158" s="47">
        <f t="shared" si="8"/>
        <v>6.7922459339436461E-3</v>
      </c>
      <c r="E158" s="35">
        <v>187.65</v>
      </c>
      <c r="F158" s="47">
        <f t="shared" si="8"/>
        <v>-3.6303494038470866E-3</v>
      </c>
      <c r="G158" s="35">
        <v>22.15</v>
      </c>
      <c r="H158" s="47">
        <f t="shared" si="8"/>
        <v>5.4029847781317079E-3</v>
      </c>
      <c r="I158" s="35">
        <v>10</v>
      </c>
      <c r="J158" s="47">
        <f t="shared" si="8"/>
        <v>-1.0050335853501451E-2</v>
      </c>
      <c r="K158" s="35">
        <v>66.930000000000007</v>
      </c>
      <c r="L158" s="47">
        <f t="shared" si="9"/>
        <v>2.5367468650850807E-3</v>
      </c>
    </row>
    <row r="159" spans="2:12" x14ac:dyDescent="0.35">
      <c r="B159" s="36">
        <v>45154</v>
      </c>
      <c r="C159" s="35">
        <v>16.2</v>
      </c>
      <c r="D159" s="47">
        <f t="shared" si="8"/>
        <v>-3.7105793965356015E-3</v>
      </c>
      <c r="E159" s="35">
        <v>191.96</v>
      </c>
      <c r="F159" s="47">
        <f t="shared" si="8"/>
        <v>-2.2708491409014944E-2</v>
      </c>
      <c r="G159" s="35">
        <v>22.38</v>
      </c>
      <c r="H159" s="47">
        <f t="shared" si="8"/>
        <v>-1.0330206392634574E-2</v>
      </c>
      <c r="I159" s="35">
        <v>10</v>
      </c>
      <c r="J159" s="47">
        <f t="shared" si="8"/>
        <v>0</v>
      </c>
      <c r="K159" s="35">
        <v>67.739999999999995</v>
      </c>
      <c r="L159" s="47">
        <f t="shared" si="9"/>
        <v>-1.2029550277074594E-2</v>
      </c>
    </row>
    <row r="160" spans="2:12" x14ac:dyDescent="0.35">
      <c r="B160" s="36">
        <v>45153</v>
      </c>
      <c r="C160" s="35">
        <v>16.55</v>
      </c>
      <c r="D160" s="47">
        <f t="shared" si="8"/>
        <v>-2.1374859584733563E-2</v>
      </c>
      <c r="E160" s="35">
        <v>191.22</v>
      </c>
      <c r="F160" s="47">
        <f t="shared" si="8"/>
        <v>3.8624193327448102E-3</v>
      </c>
      <c r="G160" s="35">
        <v>22.65</v>
      </c>
      <c r="H160" s="47">
        <f t="shared" si="8"/>
        <v>-1.199214904526387E-2</v>
      </c>
      <c r="I160" s="35">
        <v>10.130000000000001</v>
      </c>
      <c r="J160" s="47">
        <f t="shared" si="8"/>
        <v>-1.2916225266546401E-2</v>
      </c>
      <c r="K160" s="35">
        <v>68.92</v>
      </c>
      <c r="L160" s="47">
        <f t="shared" si="9"/>
        <v>-1.7269564270103274E-2</v>
      </c>
    </row>
    <row r="161" spans="2:12" x14ac:dyDescent="0.35">
      <c r="B161" s="36">
        <v>45152</v>
      </c>
      <c r="C161" s="35">
        <v>16.8</v>
      </c>
      <c r="D161" s="47">
        <f t="shared" si="8"/>
        <v>-1.499278458614128E-2</v>
      </c>
      <c r="E161" s="35">
        <v>192.52</v>
      </c>
      <c r="F161" s="47">
        <f t="shared" si="8"/>
        <v>-6.7754467776086052E-3</v>
      </c>
      <c r="G161" s="35">
        <v>23.21</v>
      </c>
      <c r="H161" s="47">
        <f t="shared" si="8"/>
        <v>-2.4423368357302775E-2</v>
      </c>
      <c r="I161" s="35">
        <v>10.48</v>
      </c>
      <c r="J161" s="47">
        <f t="shared" si="8"/>
        <v>-3.3967360632304051E-2</v>
      </c>
      <c r="K161" s="35">
        <v>70.099999999999994</v>
      </c>
      <c r="L161" s="47">
        <f t="shared" si="9"/>
        <v>-1.6976382380815381E-2</v>
      </c>
    </row>
    <row r="162" spans="2:12" x14ac:dyDescent="0.35">
      <c r="B162" s="36">
        <v>45149</v>
      </c>
      <c r="C162" s="35">
        <v>16.75</v>
      </c>
      <c r="D162" s="47">
        <f t="shared" si="8"/>
        <v>2.9806281381379411E-3</v>
      </c>
      <c r="E162" s="35">
        <v>194.11</v>
      </c>
      <c r="F162" s="47">
        <f t="shared" si="8"/>
        <v>-8.2249642480914081E-3</v>
      </c>
      <c r="G162" s="35">
        <v>23.82</v>
      </c>
      <c r="H162" s="47">
        <f t="shared" si="8"/>
        <v>-2.5942343640808361E-2</v>
      </c>
      <c r="I162" s="35">
        <v>10.55</v>
      </c>
      <c r="J162" s="47">
        <f t="shared" si="8"/>
        <v>-6.6571810291794669E-3</v>
      </c>
      <c r="K162" s="35">
        <v>69.209999999999994</v>
      </c>
      <c r="L162" s="47">
        <f t="shared" si="9"/>
        <v>1.2777433186772408E-2</v>
      </c>
    </row>
    <row r="163" spans="2:12" x14ac:dyDescent="0.35">
      <c r="B163" s="36">
        <v>45148</v>
      </c>
      <c r="C163" s="35">
        <v>16.52</v>
      </c>
      <c r="D163" s="47">
        <f t="shared" si="8"/>
        <v>1.3826490178243523E-2</v>
      </c>
      <c r="E163" s="35">
        <v>192.66</v>
      </c>
      <c r="F163" s="47">
        <f t="shared" si="8"/>
        <v>7.4980313535224418E-3</v>
      </c>
      <c r="G163" s="35">
        <v>24.91</v>
      </c>
      <c r="H163" s="47">
        <f t="shared" si="8"/>
        <v>-4.4743765346935034E-2</v>
      </c>
      <c r="I163" s="35">
        <v>10.54</v>
      </c>
      <c r="J163" s="47">
        <f t="shared" si="8"/>
        <v>9.4831680885948183E-4</v>
      </c>
      <c r="K163" s="35">
        <v>66.84</v>
      </c>
      <c r="L163" s="47">
        <f t="shared" si="9"/>
        <v>3.4843657126578782E-2</v>
      </c>
    </row>
    <row r="164" spans="2:12" x14ac:dyDescent="0.35">
      <c r="B164" s="36">
        <v>45147</v>
      </c>
      <c r="C164" s="35">
        <v>16.54</v>
      </c>
      <c r="D164" s="47">
        <f t="shared" si="8"/>
        <v>-1.2099215027131982E-3</v>
      </c>
      <c r="E164" s="35">
        <v>193.94</v>
      </c>
      <c r="F164" s="47">
        <f t="shared" si="8"/>
        <v>-6.6218555469226828E-3</v>
      </c>
      <c r="G164" s="35">
        <v>25.3</v>
      </c>
      <c r="H164" s="47">
        <f t="shared" si="8"/>
        <v>-1.5535066459385521E-2</v>
      </c>
      <c r="I164" s="35">
        <v>10.81</v>
      </c>
      <c r="J164" s="47">
        <f t="shared" si="8"/>
        <v>-2.5294088537900758E-2</v>
      </c>
      <c r="K164" s="35">
        <v>65.09</v>
      </c>
      <c r="L164" s="47">
        <f t="shared" si="9"/>
        <v>2.6530776142896978E-2</v>
      </c>
    </row>
    <row r="165" spans="2:12" x14ac:dyDescent="0.35">
      <c r="B165" s="36">
        <v>45146</v>
      </c>
      <c r="C165" s="35">
        <v>17.23</v>
      </c>
      <c r="D165" s="47">
        <f t="shared" si="8"/>
        <v>-4.0870360944293117E-2</v>
      </c>
      <c r="E165" s="35">
        <v>193.99</v>
      </c>
      <c r="F165" s="47">
        <f t="shared" si="8"/>
        <v>-2.5777846661453966E-4</v>
      </c>
      <c r="G165" s="35">
        <v>32.79</v>
      </c>
      <c r="H165" s="47">
        <f t="shared" si="8"/>
        <v>-0.25931919512308221</v>
      </c>
      <c r="I165" s="35">
        <v>11.39</v>
      </c>
      <c r="J165" s="47">
        <f t="shared" si="8"/>
        <v>-5.2264145807973887E-2</v>
      </c>
      <c r="K165" s="35">
        <v>67.709999999999994</v>
      </c>
      <c r="L165" s="47">
        <f t="shared" si="9"/>
        <v>-3.9462951913257896E-2</v>
      </c>
    </row>
    <row r="166" spans="2:12" x14ac:dyDescent="0.35">
      <c r="B166" s="36">
        <v>45145</v>
      </c>
      <c r="C166" s="35">
        <v>17.38</v>
      </c>
      <c r="D166" s="47">
        <f t="shared" si="8"/>
        <v>-8.6680692974076511E-3</v>
      </c>
      <c r="E166" s="35">
        <v>196.82</v>
      </c>
      <c r="F166" s="47">
        <f t="shared" si="8"/>
        <v>-1.4482994127824679E-2</v>
      </c>
      <c r="G166" s="35">
        <v>34.450000000000003</v>
      </c>
      <c r="H166" s="47">
        <f t="shared" si="8"/>
        <v>-4.9385406603110846E-2</v>
      </c>
      <c r="I166" s="35">
        <v>11.34</v>
      </c>
      <c r="J166" s="47">
        <f t="shared" si="8"/>
        <v>4.3994791594848424E-3</v>
      </c>
      <c r="K166" s="35">
        <v>68.069999999999993</v>
      </c>
      <c r="L166" s="47">
        <f t="shared" si="9"/>
        <v>-5.3027079623060719E-3</v>
      </c>
    </row>
    <row r="167" spans="2:12" x14ac:dyDescent="0.35">
      <c r="B167" s="36">
        <v>45142</v>
      </c>
      <c r="C167" s="35">
        <v>17.3</v>
      </c>
      <c r="D167" s="47">
        <f t="shared" si="8"/>
        <v>4.6136183335127147E-3</v>
      </c>
      <c r="E167" s="35">
        <v>196.92</v>
      </c>
      <c r="F167" s="47">
        <f t="shared" si="8"/>
        <v>-5.0794941916031057E-4</v>
      </c>
      <c r="G167" s="35">
        <v>33.74</v>
      </c>
      <c r="H167" s="47">
        <f t="shared" si="8"/>
        <v>2.0824920341845261E-2</v>
      </c>
      <c r="I167" s="35">
        <v>11.31</v>
      </c>
      <c r="J167" s="47">
        <f t="shared" si="8"/>
        <v>2.6490081715768625E-3</v>
      </c>
      <c r="K167" s="35">
        <v>66.97</v>
      </c>
      <c r="L167" s="47">
        <f t="shared" si="9"/>
        <v>1.6291829537901162E-2</v>
      </c>
    </row>
    <row r="168" spans="2:12" x14ac:dyDescent="0.35">
      <c r="B168" s="36">
        <v>45141</v>
      </c>
      <c r="C168" s="35">
        <v>17.53</v>
      </c>
      <c r="D168" s="47">
        <f t="shared" si="8"/>
        <v>-1.3207197429409866E-2</v>
      </c>
      <c r="E168" s="35">
        <v>194.55</v>
      </c>
      <c r="F168" s="47">
        <f t="shared" si="8"/>
        <v>1.2108355459437056E-2</v>
      </c>
      <c r="G168" s="35">
        <v>33.24</v>
      </c>
      <c r="H168" s="47">
        <f t="shared" si="8"/>
        <v>1.4930107130574719E-2</v>
      </c>
      <c r="I168" s="35">
        <v>10.96</v>
      </c>
      <c r="J168" s="47">
        <f t="shared" si="8"/>
        <v>3.1435008608159482E-2</v>
      </c>
      <c r="K168" s="35">
        <v>69.61</v>
      </c>
      <c r="L168" s="47">
        <f t="shared" si="9"/>
        <v>-3.8663477258616304E-2</v>
      </c>
    </row>
    <row r="169" spans="2:12" x14ac:dyDescent="0.35">
      <c r="B169" s="36">
        <v>45140</v>
      </c>
      <c r="C169" s="35">
        <v>18.22</v>
      </c>
      <c r="D169" s="47">
        <f t="shared" si="8"/>
        <v>-3.8606192898669033E-2</v>
      </c>
      <c r="E169" s="35">
        <v>199.13</v>
      </c>
      <c r="F169" s="47">
        <f t="shared" si="8"/>
        <v>-2.3268678340021137E-2</v>
      </c>
      <c r="G169" s="35">
        <v>34.01</v>
      </c>
      <c r="H169" s="47">
        <f t="shared" si="8"/>
        <v>-2.290062903185653E-2</v>
      </c>
      <c r="I169" s="35">
        <v>11.44</v>
      </c>
      <c r="J169" s="47">
        <f t="shared" si="8"/>
        <v>-4.2863704431782272E-2</v>
      </c>
      <c r="K169" s="35">
        <v>67.64</v>
      </c>
      <c r="L169" s="47">
        <f t="shared" si="9"/>
        <v>2.8708711150195479E-2</v>
      </c>
    </row>
    <row r="170" spans="2:12" x14ac:dyDescent="0.35">
      <c r="B170" s="36">
        <v>45139</v>
      </c>
      <c r="C170" s="35">
        <v>17.649999999999999</v>
      </c>
      <c r="D170" s="47">
        <f t="shared" si="8"/>
        <v>3.178410845250642E-2</v>
      </c>
      <c r="E170" s="35">
        <v>202.75</v>
      </c>
      <c r="F170" s="47">
        <f t="shared" si="8"/>
        <v>-1.8015815224938541E-2</v>
      </c>
      <c r="G170" s="35">
        <v>34.79</v>
      </c>
      <c r="H170" s="47">
        <f t="shared" si="8"/>
        <v>-2.2675390144746611E-2</v>
      </c>
      <c r="I170" s="35">
        <v>11.34</v>
      </c>
      <c r="J170" s="47">
        <f t="shared" si="8"/>
        <v>8.7796876520457728E-3</v>
      </c>
      <c r="K170" s="35">
        <v>67.58</v>
      </c>
      <c r="L170" s="47">
        <f t="shared" si="9"/>
        <v>8.8744274423575636E-4</v>
      </c>
    </row>
    <row r="171" spans="2:12" x14ac:dyDescent="0.35">
      <c r="B171" s="36">
        <v>45138</v>
      </c>
      <c r="C171" s="35">
        <v>17.28</v>
      </c>
      <c r="D171" s="47">
        <f t="shared" si="8"/>
        <v>2.1186020003396155E-2</v>
      </c>
      <c r="E171" s="35">
        <v>204.22</v>
      </c>
      <c r="F171" s="47">
        <f t="shared" si="8"/>
        <v>-7.2241511318695568E-3</v>
      </c>
      <c r="G171" s="35">
        <v>35.729999999999997</v>
      </c>
      <c r="H171" s="47">
        <f t="shared" si="8"/>
        <v>-2.666068287146775E-2</v>
      </c>
      <c r="I171" s="35">
        <v>11.83</v>
      </c>
      <c r="J171" s="47">
        <f t="shared" si="8"/>
        <v>-4.2302379690689389E-2</v>
      </c>
      <c r="K171" s="35">
        <v>67.94</v>
      </c>
      <c r="L171" s="47">
        <f t="shared" si="9"/>
        <v>-5.3128814462939586E-3</v>
      </c>
    </row>
    <row r="172" spans="2:12" x14ac:dyDescent="0.35">
      <c r="B172" s="36">
        <v>45135</v>
      </c>
      <c r="C172" s="35">
        <v>16.82</v>
      </c>
      <c r="D172" s="47">
        <f t="shared" si="8"/>
        <v>2.6981108831107613E-2</v>
      </c>
      <c r="E172" s="35">
        <v>201.45</v>
      </c>
      <c r="F172" s="47">
        <f t="shared" si="8"/>
        <v>1.3656632490035715E-2</v>
      </c>
      <c r="G172" s="35">
        <v>35.47</v>
      </c>
      <c r="H172" s="47">
        <f t="shared" si="8"/>
        <v>7.3034032497878978E-3</v>
      </c>
      <c r="I172" s="35">
        <v>11.63</v>
      </c>
      <c r="J172" s="47">
        <f t="shared" si="8"/>
        <v>1.7050711459722239E-2</v>
      </c>
      <c r="K172" s="35">
        <v>64.790000000000006</v>
      </c>
      <c r="L172" s="47">
        <f t="shared" si="9"/>
        <v>4.7473692270571848E-2</v>
      </c>
    </row>
    <row r="173" spans="2:12" x14ac:dyDescent="0.35">
      <c r="B173" s="36">
        <v>45134</v>
      </c>
      <c r="C173" s="35">
        <v>16.16</v>
      </c>
      <c r="D173" s="47">
        <f t="shared" si="8"/>
        <v>4.0029601451852602E-2</v>
      </c>
      <c r="E173" s="35">
        <v>198.63</v>
      </c>
      <c r="F173" s="47">
        <f t="shared" si="8"/>
        <v>1.4097414032491765E-2</v>
      </c>
      <c r="G173" s="35">
        <v>34.24</v>
      </c>
      <c r="H173" s="47">
        <f t="shared" si="8"/>
        <v>3.5292717511988952E-2</v>
      </c>
      <c r="I173" s="35">
        <v>11.32</v>
      </c>
      <c r="J173" s="47">
        <f t="shared" si="8"/>
        <v>2.7016893755536155E-2</v>
      </c>
      <c r="K173" s="35">
        <v>63.39</v>
      </c>
      <c r="L173" s="47">
        <f t="shared" si="9"/>
        <v>2.1845150165790934E-2</v>
      </c>
    </row>
    <row r="174" spans="2:12" x14ac:dyDescent="0.35">
      <c r="B174" s="36">
        <v>45133</v>
      </c>
      <c r="C174" s="35">
        <v>16.66</v>
      </c>
      <c r="D174" s="47">
        <f t="shared" si="8"/>
        <v>-3.0471583645747331E-2</v>
      </c>
      <c r="E174" s="35">
        <v>200.98</v>
      </c>
      <c r="F174" s="47">
        <f t="shared" si="8"/>
        <v>-1.1761603015948235E-2</v>
      </c>
      <c r="G174" s="35">
        <v>34.26</v>
      </c>
      <c r="H174" s="47">
        <f t="shared" si="8"/>
        <v>-5.8394162243237911E-4</v>
      </c>
      <c r="I174" s="35">
        <v>12.1</v>
      </c>
      <c r="J174" s="47">
        <f t="shared" si="8"/>
        <v>-6.6634379827658463E-2</v>
      </c>
      <c r="K174" s="35">
        <v>62.81</v>
      </c>
      <c r="L174" s="47">
        <f t="shared" si="9"/>
        <v>9.1918238297855216E-3</v>
      </c>
    </row>
    <row r="175" spans="2:12" x14ac:dyDescent="0.35">
      <c r="B175" s="36">
        <v>45132</v>
      </c>
      <c r="C175" s="35">
        <v>16.04</v>
      </c>
      <c r="D175" s="47">
        <f t="shared" si="8"/>
        <v>3.7925034300328175E-2</v>
      </c>
      <c r="E175" s="35">
        <v>195.9</v>
      </c>
      <c r="F175" s="47">
        <f t="shared" si="8"/>
        <v>2.5601075670317507E-2</v>
      </c>
      <c r="G175" s="35">
        <v>33.36</v>
      </c>
      <c r="H175" s="47">
        <f t="shared" si="8"/>
        <v>2.6620915405427895E-2</v>
      </c>
      <c r="I175" s="35">
        <v>11.47</v>
      </c>
      <c r="J175" s="47">
        <f t="shared" si="8"/>
        <v>5.3470521461416017E-2</v>
      </c>
      <c r="K175" s="35">
        <v>61.82</v>
      </c>
      <c r="L175" s="47">
        <f t="shared" si="9"/>
        <v>1.5887359762319146E-2</v>
      </c>
    </row>
    <row r="176" spans="2:12" x14ac:dyDescent="0.35">
      <c r="B176" s="36">
        <v>45131</v>
      </c>
      <c r="C176" s="35">
        <v>16.46</v>
      </c>
      <c r="D176" s="47">
        <f t="shared" si="8"/>
        <v>-2.5847592810555393E-2</v>
      </c>
      <c r="E176" s="35">
        <v>196.98</v>
      </c>
      <c r="F176" s="47">
        <f t="shared" si="8"/>
        <v>-5.4978757910611013E-3</v>
      </c>
      <c r="G176" s="35">
        <v>33.93</v>
      </c>
      <c r="H176" s="47">
        <f t="shared" si="8"/>
        <v>-1.694200130559274E-2</v>
      </c>
      <c r="I176" s="35">
        <v>11.38</v>
      </c>
      <c r="J176" s="47">
        <f t="shared" si="8"/>
        <v>7.8775024430944585E-3</v>
      </c>
      <c r="K176" s="35">
        <v>62.48</v>
      </c>
      <c r="L176" s="47">
        <f t="shared" si="9"/>
        <v>-1.0619568827460261E-2</v>
      </c>
    </row>
    <row r="177" spans="2:12" x14ac:dyDescent="0.35">
      <c r="B177" s="36">
        <v>45128</v>
      </c>
      <c r="C177" s="35">
        <v>17.34</v>
      </c>
      <c r="D177" s="47">
        <f t="shared" si="8"/>
        <v>-5.2082776103471999E-2</v>
      </c>
      <c r="E177" s="35">
        <v>199.71</v>
      </c>
      <c r="F177" s="47">
        <f t="shared" si="8"/>
        <v>-1.3764113539165771E-2</v>
      </c>
      <c r="G177" s="35">
        <v>34.83</v>
      </c>
      <c r="H177" s="47">
        <f t="shared" si="8"/>
        <v>-2.6179505581771054E-2</v>
      </c>
      <c r="I177" s="35">
        <v>11.53</v>
      </c>
      <c r="J177" s="47">
        <f t="shared" si="8"/>
        <v>-1.3094905582782682E-2</v>
      </c>
      <c r="K177" s="35">
        <v>62.75</v>
      </c>
      <c r="L177" s="47">
        <f t="shared" si="9"/>
        <v>-4.3120724804627695E-3</v>
      </c>
    </row>
    <row r="178" spans="2:12" x14ac:dyDescent="0.35">
      <c r="B178" s="36">
        <v>45127</v>
      </c>
      <c r="C178" s="35">
        <v>17.43</v>
      </c>
      <c r="D178" s="47">
        <f t="shared" si="8"/>
        <v>-5.1768881795337916E-3</v>
      </c>
      <c r="E178" s="35">
        <v>198.88</v>
      </c>
      <c r="F178" s="47">
        <f t="shared" si="8"/>
        <v>4.164686518320972E-3</v>
      </c>
      <c r="G178" s="35">
        <v>34.11</v>
      </c>
      <c r="H178" s="47">
        <f t="shared" si="8"/>
        <v>2.0888487947355532E-2</v>
      </c>
      <c r="I178" s="35">
        <v>11.58</v>
      </c>
      <c r="J178" s="47">
        <f t="shared" si="8"/>
        <v>-4.3271378638816164E-3</v>
      </c>
      <c r="K178" s="35">
        <v>63.42</v>
      </c>
      <c r="L178" s="47">
        <f t="shared" si="9"/>
        <v>-1.062069109830807E-2</v>
      </c>
    </row>
    <row r="179" spans="2:12" x14ac:dyDescent="0.35">
      <c r="B179" s="36">
        <v>45126</v>
      </c>
      <c r="C179" s="35">
        <v>18.03</v>
      </c>
      <c r="D179" s="47">
        <f t="shared" si="8"/>
        <v>-3.3844177683296436E-2</v>
      </c>
      <c r="E179" s="35">
        <v>206.17</v>
      </c>
      <c r="F179" s="47">
        <f t="shared" si="8"/>
        <v>-3.5999443420075793E-2</v>
      </c>
      <c r="G179" s="35">
        <v>34.61</v>
      </c>
      <c r="H179" s="47">
        <f t="shared" si="8"/>
        <v>-1.4552061216698498E-2</v>
      </c>
      <c r="I179" s="35">
        <v>11.9</v>
      </c>
      <c r="J179" s="47">
        <f t="shared" si="8"/>
        <v>-2.7258927972634534E-2</v>
      </c>
      <c r="K179" s="35">
        <v>63.28</v>
      </c>
      <c r="L179" s="47">
        <f t="shared" si="9"/>
        <v>2.2099456508028917E-3</v>
      </c>
    </row>
    <row r="180" spans="2:12" x14ac:dyDescent="0.35">
      <c r="B180" s="36">
        <v>45125</v>
      </c>
      <c r="C180" s="35">
        <v>18.329999999999998</v>
      </c>
      <c r="D180" s="47">
        <f t="shared" si="8"/>
        <v>-1.6502024636387534E-2</v>
      </c>
      <c r="E180" s="35">
        <v>209.36</v>
      </c>
      <c r="F180" s="47">
        <f t="shared" si="8"/>
        <v>-1.5354187039413754E-2</v>
      </c>
      <c r="G180" s="35">
        <v>35.83</v>
      </c>
      <c r="H180" s="47">
        <f t="shared" si="8"/>
        <v>-3.4642873669609497E-2</v>
      </c>
      <c r="I180" s="35">
        <v>12.12</v>
      </c>
      <c r="J180" s="47">
        <f t="shared" si="8"/>
        <v>-1.8318580523684631E-2</v>
      </c>
      <c r="K180" s="35">
        <v>64.11</v>
      </c>
      <c r="L180" s="47">
        <f t="shared" si="9"/>
        <v>-1.3031034539767509E-2</v>
      </c>
    </row>
    <row r="181" spans="2:12" x14ac:dyDescent="0.35">
      <c r="B181" s="36">
        <v>45124</v>
      </c>
      <c r="C181" s="35">
        <v>18.489999999999998</v>
      </c>
      <c r="D181" s="47">
        <f t="shared" si="8"/>
        <v>-8.6909835474198449E-3</v>
      </c>
      <c r="E181" s="35">
        <v>206.87</v>
      </c>
      <c r="F181" s="47">
        <f t="shared" si="8"/>
        <v>1.1964681566932676E-2</v>
      </c>
      <c r="G181" s="35">
        <v>35.61</v>
      </c>
      <c r="H181" s="47">
        <f t="shared" si="8"/>
        <v>6.1590340271761588E-3</v>
      </c>
      <c r="I181" s="35">
        <v>12</v>
      </c>
      <c r="J181" s="47">
        <f t="shared" si="8"/>
        <v>9.950330853168092E-3</v>
      </c>
      <c r="K181" s="35">
        <v>61.58</v>
      </c>
      <c r="L181" s="47">
        <f t="shared" si="9"/>
        <v>4.0263215502811714E-2</v>
      </c>
    </row>
    <row r="182" spans="2:12" x14ac:dyDescent="0.35">
      <c r="B182" s="36">
        <v>45121</v>
      </c>
      <c r="C182" s="35">
        <v>18.47</v>
      </c>
      <c r="D182" s="47">
        <f t="shared" si="8"/>
        <v>1.0822511878848297E-3</v>
      </c>
      <c r="E182" s="35">
        <v>208.69</v>
      </c>
      <c r="F182" s="47">
        <f t="shared" si="8"/>
        <v>-8.7593206117812326E-3</v>
      </c>
      <c r="G182" s="35">
        <v>35.35</v>
      </c>
      <c r="H182" s="47">
        <f t="shared" si="8"/>
        <v>7.3281049471045417E-3</v>
      </c>
      <c r="I182" s="35">
        <v>11.66</v>
      </c>
      <c r="J182" s="47">
        <f t="shared" si="8"/>
        <v>2.8742468865653945E-2</v>
      </c>
      <c r="K182" s="35">
        <v>62.21</v>
      </c>
      <c r="L182" s="47">
        <f t="shared" si="9"/>
        <v>-1.0178616030574185E-2</v>
      </c>
    </row>
    <row r="183" spans="2:12" x14ac:dyDescent="0.35">
      <c r="B183" s="36">
        <v>45120</v>
      </c>
      <c r="C183" s="35">
        <v>18.059999999999999</v>
      </c>
      <c r="D183" s="47">
        <f t="shared" si="8"/>
        <v>2.244824622230918E-2</v>
      </c>
      <c r="E183" s="35">
        <v>208.75</v>
      </c>
      <c r="F183" s="47">
        <f t="shared" si="8"/>
        <v>-2.8746646422567862E-4</v>
      </c>
      <c r="G183" s="35">
        <v>35.130000000000003</v>
      </c>
      <c r="H183" s="47">
        <f t="shared" si="8"/>
        <v>6.2429260648461165E-3</v>
      </c>
      <c r="I183" s="35">
        <v>11.61</v>
      </c>
      <c r="J183" s="47">
        <f t="shared" si="8"/>
        <v>4.2973852125461733E-3</v>
      </c>
      <c r="K183" s="35">
        <v>61.65</v>
      </c>
      <c r="L183" s="47">
        <f t="shared" si="9"/>
        <v>9.0425289165751953E-3</v>
      </c>
    </row>
    <row r="184" spans="2:12" x14ac:dyDescent="0.35">
      <c r="B184" s="36">
        <v>45119</v>
      </c>
      <c r="C184" s="35">
        <v>17.86</v>
      </c>
      <c r="D184" s="47">
        <f t="shared" si="8"/>
        <v>1.1135972540486412E-2</v>
      </c>
      <c r="E184" s="35">
        <v>206.79</v>
      </c>
      <c r="F184" s="47">
        <f t="shared" si="8"/>
        <v>9.4335781652946996E-3</v>
      </c>
      <c r="G184" s="35">
        <v>35.409999999999997</v>
      </c>
      <c r="H184" s="47">
        <f t="shared" si="8"/>
        <v>-7.938799846076549E-3</v>
      </c>
      <c r="I184" s="35">
        <v>11.81</v>
      </c>
      <c r="J184" s="47">
        <f t="shared" si="8"/>
        <v>-1.7079834499470876E-2</v>
      </c>
      <c r="K184" s="35">
        <v>64.84</v>
      </c>
      <c r="L184" s="47">
        <f t="shared" si="9"/>
        <v>-5.0449467257122071E-2</v>
      </c>
    </row>
    <row r="185" spans="2:12" x14ac:dyDescent="0.35">
      <c r="B185" s="36">
        <v>45118</v>
      </c>
      <c r="C185" s="35">
        <v>17.57</v>
      </c>
      <c r="D185" s="47">
        <f t="shared" si="8"/>
        <v>1.6370673249347087E-2</v>
      </c>
      <c r="E185" s="35">
        <v>204.54</v>
      </c>
      <c r="F185" s="47">
        <f t="shared" si="8"/>
        <v>1.0940230187803358E-2</v>
      </c>
      <c r="G185" s="35">
        <v>34.380000000000003</v>
      </c>
      <c r="H185" s="47">
        <f t="shared" si="8"/>
        <v>2.9519266169108997E-2</v>
      </c>
      <c r="I185" s="35">
        <v>11.43</v>
      </c>
      <c r="J185" s="47">
        <f t="shared" si="8"/>
        <v>3.2705152402551639E-2</v>
      </c>
      <c r="K185" s="35">
        <v>67.03</v>
      </c>
      <c r="L185" s="47">
        <f t="shared" si="9"/>
        <v>-3.3217583502390881E-2</v>
      </c>
    </row>
    <row r="186" spans="2:12" x14ac:dyDescent="0.35">
      <c r="B186" s="36">
        <v>45117</v>
      </c>
      <c r="C186" s="35">
        <v>17.690000000000001</v>
      </c>
      <c r="D186" s="47">
        <f t="shared" si="8"/>
        <v>-6.806605972688104E-3</v>
      </c>
      <c r="E186" s="35">
        <v>199.84</v>
      </c>
      <c r="F186" s="47">
        <f t="shared" si="8"/>
        <v>2.3246509000599117E-2</v>
      </c>
      <c r="G186" s="35">
        <v>33.61</v>
      </c>
      <c r="H186" s="47">
        <f t="shared" si="8"/>
        <v>2.2651358217689058E-2</v>
      </c>
      <c r="I186" s="35">
        <v>11.18</v>
      </c>
      <c r="J186" s="47">
        <f t="shared" si="8"/>
        <v>2.2115010079766274E-2</v>
      </c>
      <c r="K186" s="35">
        <v>66.69</v>
      </c>
      <c r="L186" s="47">
        <f t="shared" si="9"/>
        <v>5.085263725651391E-3</v>
      </c>
    </row>
    <row r="187" spans="2:12" x14ac:dyDescent="0.35">
      <c r="B187" s="36">
        <v>45114</v>
      </c>
      <c r="C187" s="35">
        <v>17.32</v>
      </c>
      <c r="D187" s="47">
        <f t="shared" si="8"/>
        <v>2.1137605037404816E-2</v>
      </c>
      <c r="E187" s="35">
        <v>194.62</v>
      </c>
      <c r="F187" s="47">
        <f t="shared" si="8"/>
        <v>2.6468106983424531E-2</v>
      </c>
      <c r="G187" s="35">
        <v>32.42</v>
      </c>
      <c r="H187" s="47">
        <f t="shared" si="8"/>
        <v>3.6048125429484164E-2</v>
      </c>
      <c r="I187" s="35">
        <v>10.67</v>
      </c>
      <c r="J187" s="47">
        <f t="shared" si="8"/>
        <v>4.6690402413290977E-2</v>
      </c>
      <c r="K187" s="35">
        <v>67.44</v>
      </c>
      <c r="L187" s="47">
        <f t="shared" si="9"/>
        <v>-1.1183297049385149E-2</v>
      </c>
    </row>
    <row r="188" spans="2:12" x14ac:dyDescent="0.35">
      <c r="B188" s="36">
        <v>45113</v>
      </c>
      <c r="C188" s="35">
        <v>17.739999999999998</v>
      </c>
      <c r="D188" s="47">
        <f t="shared" si="8"/>
        <v>-2.3960073747144189E-2</v>
      </c>
      <c r="E188" s="35">
        <v>195.36</v>
      </c>
      <c r="F188" s="47">
        <f t="shared" si="8"/>
        <v>-3.7950709685516094E-3</v>
      </c>
      <c r="G188" s="35">
        <v>31.58</v>
      </c>
      <c r="H188" s="47">
        <f t="shared" si="8"/>
        <v>2.625150748003411E-2</v>
      </c>
      <c r="I188" s="35">
        <v>10.64</v>
      </c>
      <c r="J188" s="47">
        <f t="shared" si="8"/>
        <v>2.8155814001637209E-3</v>
      </c>
      <c r="K188" s="35">
        <v>65.89</v>
      </c>
      <c r="L188" s="47">
        <f t="shared" si="9"/>
        <v>2.3251628767871499E-2</v>
      </c>
    </row>
    <row r="189" spans="2:12" x14ac:dyDescent="0.35">
      <c r="B189" s="36">
        <v>45112</v>
      </c>
      <c r="C189" s="35">
        <v>18.11</v>
      </c>
      <c r="D189" s="47">
        <f t="shared" si="8"/>
        <v>-2.064229501388869E-2</v>
      </c>
      <c r="E189" s="35">
        <v>198.78</v>
      </c>
      <c r="F189" s="47">
        <f t="shared" si="8"/>
        <v>-1.7354675177464866E-2</v>
      </c>
      <c r="G189" s="35">
        <v>32.479999999999997</v>
      </c>
      <c r="H189" s="47">
        <f t="shared" si="8"/>
        <v>-2.8100506465981091E-2</v>
      </c>
      <c r="I189" s="35">
        <v>10.77</v>
      </c>
      <c r="J189" s="47">
        <f t="shared" si="8"/>
        <v>-1.2144007254798724E-2</v>
      </c>
      <c r="K189" s="35">
        <v>62.85</v>
      </c>
      <c r="L189" s="47">
        <f t="shared" si="9"/>
        <v>4.7235749889472038E-2</v>
      </c>
    </row>
    <row r="190" spans="2:12" x14ac:dyDescent="0.35">
      <c r="B190" s="36">
        <v>45110</v>
      </c>
      <c r="C190" s="35">
        <v>18.29</v>
      </c>
      <c r="D190" s="47">
        <f t="shared" si="8"/>
        <v>-9.8901905074522765E-3</v>
      </c>
      <c r="E190" s="35">
        <v>196.44</v>
      </c>
      <c r="F190" s="47">
        <f t="shared" si="8"/>
        <v>1.1841644368815627E-2</v>
      </c>
      <c r="G190" s="35">
        <v>32.92</v>
      </c>
      <c r="H190" s="47">
        <f t="shared" si="8"/>
        <v>-1.3455860515392002E-2</v>
      </c>
      <c r="I190" s="35">
        <v>11</v>
      </c>
      <c r="J190" s="47">
        <f t="shared" si="8"/>
        <v>-2.1130781630073429E-2</v>
      </c>
      <c r="K190" s="35">
        <v>62.39</v>
      </c>
      <c r="L190" s="47">
        <f t="shared" si="9"/>
        <v>7.3459289135613713E-3</v>
      </c>
    </row>
    <row r="191" spans="2:12" x14ac:dyDescent="0.35">
      <c r="B191" s="36">
        <v>45107</v>
      </c>
      <c r="C191" s="35">
        <v>18.45</v>
      </c>
      <c r="D191" s="47">
        <f t="shared" si="8"/>
        <v>-8.7099080837618227E-3</v>
      </c>
      <c r="E191" s="35">
        <v>197.73</v>
      </c>
      <c r="F191" s="47">
        <f t="shared" si="8"/>
        <v>-6.5454225616943676E-3</v>
      </c>
      <c r="G191" s="35">
        <v>34.020000000000003</v>
      </c>
      <c r="H191" s="47">
        <f t="shared" si="8"/>
        <v>-3.2868211158846736E-2</v>
      </c>
      <c r="I191" s="35">
        <v>11</v>
      </c>
      <c r="J191" s="47">
        <f t="shared" si="8"/>
        <v>0</v>
      </c>
      <c r="K191" s="35">
        <v>63.14</v>
      </c>
      <c r="L191" s="47">
        <f t="shared" si="9"/>
        <v>-1.1949477007150624E-2</v>
      </c>
    </row>
    <row r="192" spans="2:12" x14ac:dyDescent="0.35">
      <c r="B192" s="36">
        <v>45106</v>
      </c>
      <c r="C192" s="35">
        <v>18.39</v>
      </c>
      <c r="D192" s="47">
        <f t="shared" si="8"/>
        <v>3.2573318703065048E-3</v>
      </c>
      <c r="E192" s="35">
        <v>195.14</v>
      </c>
      <c r="F192" s="47">
        <f t="shared" si="8"/>
        <v>1.3185214052934298E-2</v>
      </c>
      <c r="G192" s="35">
        <v>33.96</v>
      </c>
      <c r="H192" s="47">
        <f t="shared" si="8"/>
        <v>1.7652255245691492E-3</v>
      </c>
      <c r="I192" s="35">
        <v>10.81</v>
      </c>
      <c r="J192" s="47">
        <f t="shared" si="8"/>
        <v>1.7423641147253692E-2</v>
      </c>
      <c r="K192" s="35">
        <v>62.37</v>
      </c>
      <c r="L192" s="47">
        <f t="shared" si="9"/>
        <v>1.2270092591814401E-2</v>
      </c>
    </row>
    <row r="193" spans="2:12" x14ac:dyDescent="0.35">
      <c r="B193" s="36">
        <v>45105</v>
      </c>
      <c r="C193" s="35">
        <v>18.28</v>
      </c>
      <c r="D193" s="47">
        <f t="shared" si="8"/>
        <v>5.9994725902256822E-3</v>
      </c>
      <c r="E193" s="35">
        <v>195.93</v>
      </c>
      <c r="F193" s="47">
        <f t="shared" si="8"/>
        <v>-4.0402029028715845E-3</v>
      </c>
      <c r="G193" s="35">
        <v>33.520000000000003</v>
      </c>
      <c r="H193" s="47">
        <f t="shared" si="8"/>
        <v>1.3041085829264162E-2</v>
      </c>
      <c r="I193" s="35">
        <v>10.73</v>
      </c>
      <c r="J193" s="47">
        <f t="shared" si="8"/>
        <v>7.4280750085097078E-3</v>
      </c>
      <c r="K193" s="35">
        <v>61.58</v>
      </c>
      <c r="L193" s="47">
        <f t="shared" si="9"/>
        <v>1.2747248041676904E-2</v>
      </c>
    </row>
    <row r="194" spans="2:12" x14ac:dyDescent="0.35">
      <c r="B194" s="36">
        <v>45104</v>
      </c>
      <c r="C194" s="35">
        <v>17.690000000000001</v>
      </c>
      <c r="D194" s="47">
        <f t="shared" si="8"/>
        <v>3.2808057854309944E-2</v>
      </c>
      <c r="E194" s="35">
        <v>201.69</v>
      </c>
      <c r="F194" s="47">
        <f t="shared" si="8"/>
        <v>-2.8974412566379542E-2</v>
      </c>
      <c r="G194" s="35">
        <v>32.340000000000003</v>
      </c>
      <c r="H194" s="47">
        <f t="shared" si="8"/>
        <v>3.5837421464921582E-2</v>
      </c>
      <c r="I194" s="35">
        <v>10.56</v>
      </c>
      <c r="J194" s="47">
        <f t="shared" si="8"/>
        <v>1.5970278364491702E-2</v>
      </c>
      <c r="K194" s="35">
        <v>60.91</v>
      </c>
      <c r="L194" s="47">
        <f t="shared" si="9"/>
        <v>1.093977764796099E-2</v>
      </c>
    </row>
    <row r="195" spans="2:12" x14ac:dyDescent="0.35">
      <c r="B195" s="36">
        <v>45103</v>
      </c>
      <c r="C195" s="35">
        <v>17.579999999999998</v>
      </c>
      <c r="D195" s="47">
        <f t="shared" si="8"/>
        <v>6.237615914663098E-3</v>
      </c>
      <c r="E195" s="35">
        <v>199.33</v>
      </c>
      <c r="F195" s="47">
        <f t="shared" si="8"/>
        <v>1.1770122414380734E-2</v>
      </c>
      <c r="G195" s="35">
        <v>31.91</v>
      </c>
      <c r="H195" s="47">
        <f t="shared" si="8"/>
        <v>1.3385413858808783E-2</v>
      </c>
      <c r="I195" s="35">
        <v>10.15</v>
      </c>
      <c r="J195" s="47">
        <f t="shared" si="8"/>
        <v>3.9599572790319094E-2</v>
      </c>
      <c r="K195" s="35">
        <v>59.68</v>
      </c>
      <c r="L195" s="47">
        <f t="shared" si="9"/>
        <v>2.0400408952887899E-2</v>
      </c>
    </row>
    <row r="196" spans="2:12" x14ac:dyDescent="0.35">
      <c r="B196" s="36">
        <v>45100</v>
      </c>
      <c r="C196" s="35">
        <v>17.53</v>
      </c>
      <c r="D196" s="47">
        <f t="shared" si="8"/>
        <v>2.8481933238877354E-3</v>
      </c>
      <c r="E196" s="35">
        <v>200.76</v>
      </c>
      <c r="F196" s="47">
        <f t="shared" si="8"/>
        <v>-7.14842205205853E-3</v>
      </c>
      <c r="G196" s="35">
        <v>32.049999999999997</v>
      </c>
      <c r="H196" s="47">
        <f t="shared" si="8"/>
        <v>-4.3777430765268525E-3</v>
      </c>
      <c r="I196" s="35">
        <v>9.86</v>
      </c>
      <c r="J196" s="47">
        <f t="shared" ref="J196" si="10">IFERROR(LN(I195/I196),"")</f>
        <v>2.8987536873252406E-2</v>
      </c>
      <c r="K196" s="35">
        <v>59.89</v>
      </c>
      <c r="L196" s="47">
        <f t="shared" si="9"/>
        <v>-3.5125903808656397E-3</v>
      </c>
    </row>
    <row r="197" spans="2:12" x14ac:dyDescent="0.35">
      <c r="B197" s="36">
        <v>45099</v>
      </c>
      <c r="C197" s="35">
        <v>17.39</v>
      </c>
      <c r="D197" s="47">
        <f t="shared" ref="D197:L252" si="11">IFERROR(LN(C196/C197),"")</f>
        <v>8.0183705669515919E-3</v>
      </c>
      <c r="E197" s="35">
        <v>199.94</v>
      </c>
      <c r="F197" s="47">
        <f t="shared" si="11"/>
        <v>4.0928432476983372E-3</v>
      </c>
      <c r="G197" s="35">
        <v>32.090000000000003</v>
      </c>
      <c r="H197" s="47">
        <f t="shared" si="11"/>
        <v>-1.2472717550866608E-3</v>
      </c>
      <c r="I197" s="35">
        <v>9.7899999999999991</v>
      </c>
      <c r="J197" s="47">
        <f t="shared" si="11"/>
        <v>7.1247120721251523E-3</v>
      </c>
      <c r="K197" s="35">
        <v>63.22</v>
      </c>
      <c r="L197" s="47">
        <f t="shared" si="11"/>
        <v>-5.4111160511100598E-2</v>
      </c>
    </row>
    <row r="198" spans="2:12" x14ac:dyDescent="0.35">
      <c r="B198" s="36">
        <v>45098</v>
      </c>
      <c r="C198" s="35">
        <v>16.95</v>
      </c>
      <c r="D198" s="47">
        <f t="shared" si="11"/>
        <v>2.562749453973245E-2</v>
      </c>
      <c r="E198" s="35">
        <v>202.68</v>
      </c>
      <c r="F198" s="47">
        <f t="shared" si="11"/>
        <v>-1.3611059068674415E-2</v>
      </c>
      <c r="G198" s="35">
        <v>31.51</v>
      </c>
      <c r="H198" s="47">
        <f t="shared" si="11"/>
        <v>1.8239499352582393E-2</v>
      </c>
      <c r="I198" s="35">
        <v>9.77</v>
      </c>
      <c r="J198" s="47">
        <f t="shared" si="11"/>
        <v>2.0449904877276478E-3</v>
      </c>
      <c r="K198" s="35">
        <v>62.9</v>
      </c>
      <c r="L198" s="47">
        <f t="shared" si="11"/>
        <v>5.0745430810767503E-3</v>
      </c>
    </row>
    <row r="199" spans="2:12" x14ac:dyDescent="0.35">
      <c r="B199" s="36">
        <v>45097</v>
      </c>
      <c r="C199" s="35">
        <v>17.600000000000001</v>
      </c>
      <c r="D199" s="47">
        <f t="shared" si="11"/>
        <v>-3.7631068217647001E-2</v>
      </c>
      <c r="E199" s="35">
        <v>202.37</v>
      </c>
      <c r="F199" s="47">
        <f t="shared" si="11"/>
        <v>1.5306755241411333E-3</v>
      </c>
      <c r="G199" s="35">
        <v>31.72</v>
      </c>
      <c r="H199" s="47">
        <f t="shared" si="11"/>
        <v>-6.6424409974639061E-3</v>
      </c>
      <c r="I199" s="35">
        <v>10.71</v>
      </c>
      <c r="J199" s="47">
        <f t="shared" si="11"/>
        <v>-9.1861418404966172E-2</v>
      </c>
      <c r="K199" s="35">
        <v>62.96</v>
      </c>
      <c r="L199" s="47">
        <f t="shared" si="11"/>
        <v>-9.5344040275303129E-4</v>
      </c>
    </row>
    <row r="200" spans="2:12" x14ac:dyDescent="0.35">
      <c r="B200" s="36">
        <v>45093</v>
      </c>
      <c r="C200" s="35">
        <v>17.28</v>
      </c>
      <c r="D200" s="47">
        <f t="shared" si="11"/>
        <v>1.8349138668196617E-2</v>
      </c>
      <c r="E200" s="35">
        <v>200.05</v>
      </c>
      <c r="F200" s="47">
        <f t="shared" si="11"/>
        <v>1.1530369780323955E-2</v>
      </c>
      <c r="G200" s="35">
        <v>32.54</v>
      </c>
      <c r="H200" s="47">
        <f t="shared" si="11"/>
        <v>-2.5522705024244474E-2</v>
      </c>
      <c r="I200" s="35">
        <v>10.8</v>
      </c>
      <c r="J200" s="47">
        <f t="shared" si="11"/>
        <v>-8.3682496705165792E-3</v>
      </c>
      <c r="K200" s="35">
        <v>62.49</v>
      </c>
      <c r="L200" s="47">
        <f t="shared" si="11"/>
        <v>7.4930601681573606E-3</v>
      </c>
    </row>
    <row r="201" spans="2:12" x14ac:dyDescent="0.35">
      <c r="B201" s="36">
        <v>45092</v>
      </c>
      <c r="C201" s="35">
        <v>16.989999999999998</v>
      </c>
      <c r="D201" s="47">
        <f t="shared" si="11"/>
        <v>1.6924827692068961E-2</v>
      </c>
      <c r="E201" s="35">
        <v>201.32</v>
      </c>
      <c r="F201" s="47">
        <f t="shared" si="11"/>
        <v>-6.3283466049151452E-3</v>
      </c>
      <c r="G201" s="35">
        <v>32.35</v>
      </c>
      <c r="H201" s="47">
        <f t="shared" si="11"/>
        <v>5.8560808439821112E-3</v>
      </c>
      <c r="I201" s="35">
        <v>10.94</v>
      </c>
      <c r="J201" s="47">
        <f t="shared" si="11"/>
        <v>-1.2879662863661026E-2</v>
      </c>
      <c r="K201" s="35">
        <v>62.41</v>
      </c>
      <c r="L201" s="47">
        <f t="shared" si="11"/>
        <v>1.2810249950388271E-3</v>
      </c>
    </row>
    <row r="202" spans="2:12" x14ac:dyDescent="0.35">
      <c r="B202" s="36">
        <v>45091</v>
      </c>
      <c r="C202" s="35">
        <v>17.329999999999998</v>
      </c>
      <c r="D202" s="47">
        <f t="shared" si="11"/>
        <v>-1.9814168043674075E-2</v>
      </c>
      <c r="E202" s="35">
        <v>194.39</v>
      </c>
      <c r="F202" s="47">
        <f t="shared" si="11"/>
        <v>3.5029231534137888E-2</v>
      </c>
      <c r="G202" s="35">
        <v>32.35</v>
      </c>
      <c r="H202" s="47">
        <f t="shared" si="11"/>
        <v>0</v>
      </c>
      <c r="I202" s="35">
        <v>10.59</v>
      </c>
      <c r="J202" s="47">
        <f t="shared" si="11"/>
        <v>3.2515637380520011E-2</v>
      </c>
      <c r="K202" s="35">
        <v>63.64</v>
      </c>
      <c r="L202" s="47">
        <f t="shared" si="11"/>
        <v>-1.9516684523634593E-2</v>
      </c>
    </row>
    <row r="203" spans="2:12" x14ac:dyDescent="0.35">
      <c r="B203" s="36">
        <v>45090</v>
      </c>
      <c r="C203" s="35">
        <v>16.88</v>
      </c>
      <c r="D203" s="47">
        <f t="shared" si="11"/>
        <v>2.6309614559703667E-2</v>
      </c>
      <c r="E203" s="35">
        <v>190.86</v>
      </c>
      <c r="F203" s="47">
        <f t="shared" si="11"/>
        <v>1.8326275384913712E-2</v>
      </c>
      <c r="G203" s="35">
        <v>32.47</v>
      </c>
      <c r="H203" s="47">
        <f t="shared" si="11"/>
        <v>-3.702565167844926E-3</v>
      </c>
      <c r="I203" s="35">
        <v>10.9</v>
      </c>
      <c r="J203" s="47">
        <f t="shared" si="11"/>
        <v>-2.8852629621782956E-2</v>
      </c>
      <c r="K203" s="35">
        <v>65.23</v>
      </c>
      <c r="L203" s="47">
        <f t="shared" si="11"/>
        <v>-2.4677282338418507E-2</v>
      </c>
    </row>
    <row r="204" spans="2:12" x14ac:dyDescent="0.35">
      <c r="B204" s="36">
        <v>45089</v>
      </c>
      <c r="C204" s="35">
        <v>16.899999999999999</v>
      </c>
      <c r="D204" s="47">
        <f t="shared" si="11"/>
        <v>-1.1841327612166937E-3</v>
      </c>
      <c r="E204" s="35">
        <v>190.48</v>
      </c>
      <c r="F204" s="47">
        <f t="shared" si="11"/>
        <v>1.9929728105004432E-3</v>
      </c>
      <c r="G204" s="35">
        <v>32.68</v>
      </c>
      <c r="H204" s="47">
        <f t="shared" si="11"/>
        <v>-6.4466838770475899E-3</v>
      </c>
      <c r="I204" s="35">
        <v>10.63</v>
      </c>
      <c r="J204" s="47">
        <f t="shared" si="11"/>
        <v>2.5082596881241394E-2</v>
      </c>
      <c r="K204" s="35">
        <v>64.09</v>
      </c>
      <c r="L204" s="47">
        <f t="shared" si="11"/>
        <v>1.7631140291869265E-2</v>
      </c>
    </row>
    <row r="205" spans="2:12" x14ac:dyDescent="0.35">
      <c r="B205" s="36">
        <v>45086</v>
      </c>
      <c r="C205" s="35">
        <v>16.78</v>
      </c>
      <c r="D205" s="47">
        <f t="shared" si="11"/>
        <v>7.1259208899674435E-3</v>
      </c>
      <c r="E205" s="35">
        <v>187.61</v>
      </c>
      <c r="F205" s="47">
        <f t="shared" si="11"/>
        <v>1.518186212308768E-2</v>
      </c>
      <c r="G205" s="35">
        <v>31.67</v>
      </c>
      <c r="H205" s="47">
        <f t="shared" si="11"/>
        <v>3.1393409441253566E-2</v>
      </c>
      <c r="I205" s="35">
        <v>10.050000000000001</v>
      </c>
      <c r="J205" s="47">
        <f t="shared" si="11"/>
        <v>5.6107557848771805E-2</v>
      </c>
      <c r="K205" s="35">
        <v>64.83</v>
      </c>
      <c r="L205" s="47">
        <f t="shared" si="11"/>
        <v>-1.1480113670768725E-2</v>
      </c>
    </row>
    <row r="206" spans="2:12" x14ac:dyDescent="0.35">
      <c r="B206" s="36">
        <v>45085</v>
      </c>
      <c r="C206" s="35">
        <v>16.77</v>
      </c>
      <c r="D206" s="47">
        <f t="shared" si="11"/>
        <v>5.9612520394282452E-4</v>
      </c>
      <c r="E206" s="35">
        <v>188.15</v>
      </c>
      <c r="F206" s="47">
        <f t="shared" si="11"/>
        <v>-2.8741769839267114E-3</v>
      </c>
      <c r="G206" s="35">
        <v>31.93</v>
      </c>
      <c r="H206" s="47">
        <f t="shared" si="11"/>
        <v>-8.1761461761421118E-3</v>
      </c>
      <c r="I206" s="35">
        <v>10.26</v>
      </c>
      <c r="J206" s="47">
        <f t="shared" si="11"/>
        <v>-2.0680205237538631E-2</v>
      </c>
      <c r="K206" s="35">
        <v>63.38</v>
      </c>
      <c r="L206" s="47">
        <f t="shared" si="11"/>
        <v>2.2620104924129535E-2</v>
      </c>
    </row>
    <row r="207" spans="2:12" x14ac:dyDescent="0.35">
      <c r="B207" s="36">
        <v>45084</v>
      </c>
      <c r="C207" s="35">
        <v>16.96</v>
      </c>
      <c r="D207" s="47">
        <f t="shared" si="11"/>
        <v>-1.1266054528639578E-2</v>
      </c>
      <c r="E207" s="35">
        <v>188.88</v>
      </c>
      <c r="F207" s="47">
        <f t="shared" si="11"/>
        <v>-3.8723757378111953E-3</v>
      </c>
      <c r="G207" s="35">
        <v>32.659999999999997</v>
      </c>
      <c r="H207" s="47">
        <f t="shared" si="11"/>
        <v>-2.260508081562829E-2</v>
      </c>
      <c r="I207" s="35">
        <v>10.57</v>
      </c>
      <c r="J207" s="47">
        <f t="shared" si="11"/>
        <v>-2.9766960139522847E-2</v>
      </c>
      <c r="K207" s="35">
        <v>65.38</v>
      </c>
      <c r="L207" s="47">
        <f t="shared" si="11"/>
        <v>-3.1068047033289799E-2</v>
      </c>
    </row>
    <row r="208" spans="2:12" x14ac:dyDescent="0.35">
      <c r="B208" s="36">
        <v>45083</v>
      </c>
      <c r="C208" s="35">
        <v>16.899999999999999</v>
      </c>
      <c r="D208" s="47">
        <f t="shared" si="11"/>
        <v>3.5440084347293315E-3</v>
      </c>
      <c r="E208" s="35">
        <v>195.98</v>
      </c>
      <c r="F208" s="47">
        <f t="shared" si="11"/>
        <v>-3.6900720430414889E-2</v>
      </c>
      <c r="G208" s="35">
        <v>34.06</v>
      </c>
      <c r="H208" s="47">
        <f t="shared" si="11"/>
        <v>-4.1972587692223347E-2</v>
      </c>
      <c r="I208" s="35">
        <v>10.89</v>
      </c>
      <c r="J208" s="47">
        <f t="shared" si="11"/>
        <v>-2.9825137062722877E-2</v>
      </c>
      <c r="K208" s="35">
        <v>65.67</v>
      </c>
      <c r="L208" s="47">
        <f t="shared" si="11"/>
        <v>-4.4257989068168021E-3</v>
      </c>
    </row>
    <row r="209" spans="2:12" x14ac:dyDescent="0.35">
      <c r="B209" s="36">
        <v>45082</v>
      </c>
      <c r="C209" s="35">
        <v>16.760000000000002</v>
      </c>
      <c r="D209" s="47">
        <f t="shared" si="11"/>
        <v>8.3185268750905934E-3</v>
      </c>
      <c r="E209" s="35">
        <v>193.45</v>
      </c>
      <c r="F209" s="47">
        <f t="shared" si="11"/>
        <v>1.2993532061150425E-2</v>
      </c>
      <c r="G209" s="35">
        <v>33.96</v>
      </c>
      <c r="H209" s="47">
        <f t="shared" si="11"/>
        <v>2.9403137913956755E-3</v>
      </c>
      <c r="I209" s="35">
        <v>10.84</v>
      </c>
      <c r="J209" s="47">
        <f t="shared" si="11"/>
        <v>4.6019409333690553E-3</v>
      </c>
      <c r="K209" s="35">
        <v>58.84</v>
      </c>
      <c r="L209" s="47">
        <f t="shared" si="11"/>
        <v>0.1098203044696444</v>
      </c>
    </row>
    <row r="210" spans="2:12" x14ac:dyDescent="0.35">
      <c r="B210" s="36">
        <v>45079</v>
      </c>
      <c r="C210" s="35">
        <v>16.809999999999999</v>
      </c>
      <c r="D210" s="47">
        <f t="shared" si="11"/>
        <v>-2.9788523665870434E-3</v>
      </c>
      <c r="E210" s="35">
        <v>195</v>
      </c>
      <c r="F210" s="47">
        <f t="shared" si="11"/>
        <v>-7.9804774172248707E-3</v>
      </c>
      <c r="G210" s="35">
        <v>33.03</v>
      </c>
      <c r="H210" s="47">
        <f t="shared" si="11"/>
        <v>2.7767122040448362E-2</v>
      </c>
      <c r="I210" s="35">
        <v>10.92</v>
      </c>
      <c r="J210" s="47">
        <f t="shared" si="11"/>
        <v>-7.352974305258806E-3</v>
      </c>
      <c r="K210" s="35">
        <v>59.26</v>
      </c>
      <c r="L210" s="47">
        <f t="shared" si="11"/>
        <v>-7.1126464121823631E-3</v>
      </c>
    </row>
    <row r="211" spans="2:12" x14ac:dyDescent="0.35">
      <c r="B211" s="36">
        <v>45078</v>
      </c>
      <c r="C211" s="35">
        <v>16.43</v>
      </c>
      <c r="D211" s="47">
        <f t="shared" si="11"/>
        <v>2.2865015371347466E-2</v>
      </c>
      <c r="E211" s="35">
        <v>198.3</v>
      </c>
      <c r="F211" s="47">
        <f t="shared" si="11"/>
        <v>-1.6781476962003543E-2</v>
      </c>
      <c r="G211" s="35">
        <v>31.55</v>
      </c>
      <c r="H211" s="47">
        <f t="shared" si="11"/>
        <v>4.5842650415476166E-2</v>
      </c>
      <c r="I211" s="35">
        <v>10.4</v>
      </c>
      <c r="J211" s="47">
        <f t="shared" si="11"/>
        <v>4.8790164169432049E-2</v>
      </c>
      <c r="K211" s="35">
        <v>55.63</v>
      </c>
      <c r="L211" s="47">
        <f t="shared" si="11"/>
        <v>6.321191805821727E-2</v>
      </c>
    </row>
    <row r="212" spans="2:12" x14ac:dyDescent="0.35">
      <c r="B212" s="36">
        <v>45077</v>
      </c>
      <c r="C212" s="35">
        <v>16.25</v>
      </c>
      <c r="D212" s="47">
        <f t="shared" si="11"/>
        <v>1.1016023273430129E-2</v>
      </c>
      <c r="E212" s="35">
        <v>165.7</v>
      </c>
      <c r="F212" s="47">
        <f t="shared" si="11"/>
        <v>0.17960211109323318</v>
      </c>
      <c r="G212" s="35">
        <v>30.67</v>
      </c>
      <c r="H212" s="47">
        <f t="shared" si="11"/>
        <v>2.8288610861061925E-2</v>
      </c>
      <c r="I212" s="35">
        <v>9.74</v>
      </c>
      <c r="J212" s="47">
        <f t="shared" si="11"/>
        <v>6.55646884928833E-2</v>
      </c>
      <c r="K212" s="35">
        <v>54.8</v>
      </c>
      <c r="L212" s="47">
        <f t="shared" si="11"/>
        <v>1.5032430133232088E-2</v>
      </c>
    </row>
    <row r="213" spans="2:12" x14ac:dyDescent="0.35">
      <c r="B213" s="36">
        <v>45076</v>
      </c>
      <c r="C213" s="35">
        <v>16.329999999999998</v>
      </c>
      <c r="D213" s="47">
        <f t="shared" si="11"/>
        <v>-4.9109982066271388E-3</v>
      </c>
      <c r="E213" s="35">
        <v>163.66</v>
      </c>
      <c r="F213" s="47">
        <f t="shared" si="11"/>
        <v>1.2387819333281617E-2</v>
      </c>
      <c r="G213" s="35">
        <v>30.61</v>
      </c>
      <c r="H213" s="47">
        <f t="shared" si="11"/>
        <v>1.9582251688390205E-3</v>
      </c>
      <c r="I213" s="35">
        <v>9.6</v>
      </c>
      <c r="J213" s="47">
        <f t="shared" si="11"/>
        <v>1.4478019180653235E-2</v>
      </c>
      <c r="K213" s="35">
        <v>55.28</v>
      </c>
      <c r="L213" s="47">
        <f t="shared" si="11"/>
        <v>-8.720985505444652E-3</v>
      </c>
    </row>
    <row r="214" spans="2:12" x14ac:dyDescent="0.35">
      <c r="B214" s="36">
        <v>45072</v>
      </c>
      <c r="C214" s="35">
        <v>16.059999999999999</v>
      </c>
      <c r="D214" s="47">
        <f t="shared" si="11"/>
        <v>1.6672198463758194E-2</v>
      </c>
      <c r="E214" s="35">
        <v>165.48</v>
      </c>
      <c r="F214" s="47">
        <f t="shared" si="11"/>
        <v>-1.1059236493975109E-2</v>
      </c>
      <c r="G214" s="35">
        <v>30.71</v>
      </c>
      <c r="H214" s="47">
        <f t="shared" si="11"/>
        <v>-3.261581495409963E-3</v>
      </c>
      <c r="I214" s="35">
        <v>9.3800000000000008</v>
      </c>
      <c r="J214" s="47">
        <f t="shared" si="11"/>
        <v>2.3183335455657067E-2</v>
      </c>
      <c r="K214" s="35">
        <v>55.1</v>
      </c>
      <c r="L214" s="47">
        <f t="shared" si="11"/>
        <v>3.2614633005456483E-3</v>
      </c>
    </row>
    <row r="215" spans="2:12" x14ac:dyDescent="0.35">
      <c r="B215" s="36">
        <v>45071</v>
      </c>
      <c r="C215" s="35">
        <v>15.82</v>
      </c>
      <c r="D215" s="47">
        <f t="shared" si="11"/>
        <v>1.505674617910773E-2</v>
      </c>
      <c r="E215" s="35">
        <v>162.86000000000001</v>
      </c>
      <c r="F215" s="47">
        <f t="shared" si="11"/>
        <v>1.5959405554225307E-2</v>
      </c>
      <c r="G215" s="35">
        <v>31.2</v>
      </c>
      <c r="H215" s="47">
        <f t="shared" si="11"/>
        <v>-1.5829760362705614E-2</v>
      </c>
      <c r="I215" s="35">
        <v>9.48</v>
      </c>
      <c r="J215" s="47">
        <f t="shared" si="11"/>
        <v>-1.0604553248797112E-2</v>
      </c>
      <c r="K215" s="35">
        <v>56.12</v>
      </c>
      <c r="L215" s="47">
        <f t="shared" si="11"/>
        <v>-1.834253907539132E-2</v>
      </c>
    </row>
    <row r="216" spans="2:12" x14ac:dyDescent="0.35">
      <c r="B216" s="36">
        <v>45070</v>
      </c>
      <c r="C216" s="35">
        <v>15.84</v>
      </c>
      <c r="D216" s="47">
        <f t="shared" si="11"/>
        <v>-1.2634240467719062E-3</v>
      </c>
      <c r="E216" s="35">
        <v>162.6</v>
      </c>
      <c r="F216" s="47">
        <f t="shared" si="11"/>
        <v>1.5977389252751291E-3</v>
      </c>
      <c r="G216" s="35">
        <v>31.02</v>
      </c>
      <c r="H216" s="47">
        <f t="shared" si="11"/>
        <v>5.7859370670439265E-3</v>
      </c>
      <c r="I216" s="35">
        <v>9.35</v>
      </c>
      <c r="J216" s="47">
        <f t="shared" si="11"/>
        <v>1.3807972966334816E-2</v>
      </c>
      <c r="K216" s="35">
        <v>56.85</v>
      </c>
      <c r="L216" s="47">
        <f t="shared" si="11"/>
        <v>-1.2923964962284904E-2</v>
      </c>
    </row>
    <row r="217" spans="2:12" x14ac:dyDescent="0.35">
      <c r="B217" s="36">
        <v>45069</v>
      </c>
      <c r="C217" s="35">
        <v>15.87</v>
      </c>
      <c r="D217" s="47">
        <f t="shared" si="11"/>
        <v>-1.8921481520378152E-3</v>
      </c>
      <c r="E217" s="35">
        <v>163.97</v>
      </c>
      <c r="F217" s="47">
        <f t="shared" si="11"/>
        <v>-8.3902871480667982E-3</v>
      </c>
      <c r="G217" s="35">
        <v>31.34</v>
      </c>
      <c r="H217" s="47">
        <f t="shared" si="11"/>
        <v>-1.0263079179482068E-2</v>
      </c>
      <c r="I217" s="35">
        <v>9.42</v>
      </c>
      <c r="J217" s="47">
        <f t="shared" si="11"/>
        <v>-7.4587452876760576E-3</v>
      </c>
      <c r="K217" s="35">
        <v>56.86</v>
      </c>
      <c r="L217" s="47">
        <f t="shared" si="11"/>
        <v>-1.758860263086762E-4</v>
      </c>
    </row>
    <row r="218" spans="2:12" x14ac:dyDescent="0.35">
      <c r="B218" s="36">
        <v>45068</v>
      </c>
      <c r="C218" s="35">
        <v>16.91</v>
      </c>
      <c r="D218" s="47">
        <f t="shared" si="11"/>
        <v>-6.3474628372171327E-2</v>
      </c>
      <c r="E218" s="35">
        <v>165.33</v>
      </c>
      <c r="F218" s="47">
        <f t="shared" si="11"/>
        <v>-8.2599923014766638E-3</v>
      </c>
      <c r="G218" s="35">
        <v>31.8</v>
      </c>
      <c r="H218" s="47">
        <f t="shared" si="11"/>
        <v>-1.4571052858256378E-2</v>
      </c>
      <c r="I218" s="35">
        <v>9.6</v>
      </c>
      <c r="J218" s="47">
        <f t="shared" si="11"/>
        <v>-1.8928009885518796E-2</v>
      </c>
      <c r="K218" s="35">
        <v>58.49</v>
      </c>
      <c r="L218" s="47">
        <f t="shared" si="11"/>
        <v>-2.8263693232080743E-2</v>
      </c>
    </row>
    <row r="219" spans="2:12" x14ac:dyDescent="0.35">
      <c r="B219" s="36">
        <v>45065</v>
      </c>
      <c r="C219" s="35">
        <v>16.86</v>
      </c>
      <c r="D219" s="47">
        <f t="shared" si="11"/>
        <v>2.9612103367794677E-3</v>
      </c>
      <c r="E219" s="35">
        <v>165.35</v>
      </c>
      <c r="F219" s="47">
        <f t="shared" si="11"/>
        <v>-1.2096286454805314E-4</v>
      </c>
      <c r="G219" s="35">
        <v>32.04</v>
      </c>
      <c r="H219" s="47">
        <f t="shared" si="11"/>
        <v>-7.5188324140272279E-3</v>
      </c>
      <c r="I219" s="35">
        <v>9.27</v>
      </c>
      <c r="J219" s="47">
        <f t="shared" si="11"/>
        <v>3.4979718896026683E-2</v>
      </c>
      <c r="K219" s="35">
        <v>56.77</v>
      </c>
      <c r="L219" s="47">
        <f t="shared" si="11"/>
        <v>2.9847782272299644E-2</v>
      </c>
    </row>
    <row r="220" spans="2:12" x14ac:dyDescent="0.35">
      <c r="B220" s="36">
        <v>45064</v>
      </c>
      <c r="C220" s="35">
        <v>16.78</v>
      </c>
      <c r="D220" s="47">
        <f t="shared" si="11"/>
        <v>4.7562515346492758E-3</v>
      </c>
      <c r="E220" s="35">
        <v>167.1</v>
      </c>
      <c r="F220" s="47">
        <f t="shared" si="11"/>
        <v>-1.0527996173546224E-2</v>
      </c>
      <c r="G220" s="35">
        <v>33.31</v>
      </c>
      <c r="H220" s="47">
        <f t="shared" si="11"/>
        <v>-3.8872530005429944E-2</v>
      </c>
      <c r="I220" s="35">
        <v>9.17</v>
      </c>
      <c r="J220" s="47">
        <f t="shared" si="11"/>
        <v>1.0846093309390166E-2</v>
      </c>
      <c r="K220" s="35">
        <v>56.73</v>
      </c>
      <c r="L220" s="47">
        <f t="shared" si="11"/>
        <v>7.0484584415912688E-4</v>
      </c>
    </row>
    <row r="221" spans="2:12" x14ac:dyDescent="0.35">
      <c r="B221" s="36">
        <v>45063</v>
      </c>
      <c r="C221" s="35">
        <v>16.77</v>
      </c>
      <c r="D221" s="47">
        <f t="shared" si="11"/>
        <v>5.9612520394282452E-4</v>
      </c>
      <c r="E221" s="35">
        <v>166.14</v>
      </c>
      <c r="F221" s="47">
        <f t="shared" si="11"/>
        <v>5.7616291904225118E-3</v>
      </c>
      <c r="G221" s="35">
        <v>31.95</v>
      </c>
      <c r="H221" s="47">
        <f t="shared" si="11"/>
        <v>4.1685471382044467E-2</v>
      </c>
      <c r="I221" s="35">
        <v>9</v>
      </c>
      <c r="J221" s="47">
        <f t="shared" si="11"/>
        <v>1.8712708932154164E-2</v>
      </c>
      <c r="K221" s="35">
        <v>56.66</v>
      </c>
      <c r="L221" s="47">
        <f t="shared" si="11"/>
        <v>1.2346769361054159E-3</v>
      </c>
    </row>
    <row r="222" spans="2:12" x14ac:dyDescent="0.35">
      <c r="B222" s="36">
        <v>45062</v>
      </c>
      <c r="C222" s="35">
        <v>16.5</v>
      </c>
      <c r="D222" s="47">
        <f t="shared" si="11"/>
        <v>1.6231194928582552E-2</v>
      </c>
      <c r="E222" s="35">
        <v>167.62</v>
      </c>
      <c r="F222" s="47">
        <f t="shared" si="11"/>
        <v>-8.868706259834807E-3</v>
      </c>
      <c r="G222" s="35">
        <v>33.869999999999997</v>
      </c>
      <c r="H222" s="47">
        <f t="shared" si="11"/>
        <v>-5.8357486006136432E-2</v>
      </c>
      <c r="I222" s="35">
        <v>9.02</v>
      </c>
      <c r="J222" s="47">
        <f t="shared" si="11"/>
        <v>-2.2197567383128881E-3</v>
      </c>
      <c r="K222" s="35">
        <v>55.67</v>
      </c>
      <c r="L222" s="47">
        <f t="shared" si="11"/>
        <v>1.7627092206953941E-2</v>
      </c>
    </row>
    <row r="223" spans="2:12" x14ac:dyDescent="0.35">
      <c r="B223" s="36">
        <v>45061</v>
      </c>
      <c r="C223" s="35">
        <v>16.399999999999999</v>
      </c>
      <c r="D223" s="47">
        <f t="shared" si="11"/>
        <v>6.0790460763821925E-3</v>
      </c>
      <c r="E223" s="35">
        <v>176.55</v>
      </c>
      <c r="F223" s="47">
        <f t="shared" si="11"/>
        <v>-5.1904609703635272E-2</v>
      </c>
      <c r="G223" s="35">
        <v>34.14</v>
      </c>
      <c r="H223" s="47">
        <f t="shared" si="11"/>
        <v>-7.940050536614323E-3</v>
      </c>
      <c r="I223" s="35">
        <v>9.5</v>
      </c>
      <c r="J223" s="47">
        <f t="shared" si="11"/>
        <v>-5.1847464531962935E-2</v>
      </c>
      <c r="K223" s="35">
        <v>56.65</v>
      </c>
      <c r="L223" s="47">
        <f t="shared" si="11"/>
        <v>-1.7450585278598826E-2</v>
      </c>
    </row>
    <row r="224" spans="2:12" x14ac:dyDescent="0.35">
      <c r="B224" s="36">
        <v>45058</v>
      </c>
      <c r="C224" s="35">
        <v>16.23</v>
      </c>
      <c r="D224" s="47">
        <f t="shared" si="11"/>
        <v>1.0419953303652878E-2</v>
      </c>
      <c r="E224" s="35">
        <v>174.22</v>
      </c>
      <c r="F224" s="47">
        <f t="shared" si="11"/>
        <v>1.3285253983649443E-2</v>
      </c>
      <c r="G224" s="35">
        <v>33.04</v>
      </c>
      <c r="H224" s="47">
        <f t="shared" si="11"/>
        <v>3.2750768713517307E-2</v>
      </c>
      <c r="I224" s="35">
        <v>9.1199999999999992</v>
      </c>
      <c r="J224" s="47">
        <f t="shared" si="11"/>
        <v>4.08219945202552E-2</v>
      </c>
      <c r="K224" s="35">
        <v>55.26</v>
      </c>
      <c r="L224" s="47">
        <f t="shared" si="11"/>
        <v>2.4842667978744855E-2</v>
      </c>
    </row>
    <row r="225" spans="2:12" x14ac:dyDescent="0.35">
      <c r="B225" s="36">
        <v>45057</v>
      </c>
      <c r="C225" s="35">
        <v>16.37</v>
      </c>
      <c r="D225" s="47">
        <f t="shared" si="11"/>
        <v>-8.5890098565436831E-3</v>
      </c>
      <c r="E225" s="35">
        <v>173.28</v>
      </c>
      <c r="F225" s="47">
        <f t="shared" si="11"/>
        <v>5.4100851380653918E-3</v>
      </c>
      <c r="G225" s="35">
        <v>33.18</v>
      </c>
      <c r="H225" s="47">
        <f t="shared" si="11"/>
        <v>-4.2283361095211761E-3</v>
      </c>
      <c r="I225" s="35">
        <v>9.77</v>
      </c>
      <c r="J225" s="47">
        <f t="shared" si="11"/>
        <v>-6.8846661968451434E-2</v>
      </c>
      <c r="K225" s="35">
        <v>54.88</v>
      </c>
      <c r="L225" s="47">
        <f t="shared" si="11"/>
        <v>6.9003360776407046E-3</v>
      </c>
    </row>
    <row r="226" spans="2:12" x14ac:dyDescent="0.35">
      <c r="B226" s="36">
        <v>45056</v>
      </c>
      <c r="C226" s="35">
        <v>16.440000000000001</v>
      </c>
      <c r="D226" s="47">
        <f t="shared" si="11"/>
        <v>-4.2669982449902895E-3</v>
      </c>
      <c r="E226" s="35">
        <v>178.87</v>
      </c>
      <c r="F226" s="47">
        <f t="shared" si="11"/>
        <v>-3.1750501752473972E-2</v>
      </c>
      <c r="G226" s="35">
        <v>33.700000000000003</v>
      </c>
      <c r="H226" s="47">
        <f t="shared" si="11"/>
        <v>-1.5550552596017722E-2</v>
      </c>
      <c r="I226" s="35">
        <v>9.81</v>
      </c>
      <c r="J226" s="47">
        <f t="shared" si="11"/>
        <v>-4.0858075225804046E-3</v>
      </c>
      <c r="K226" s="35">
        <v>55.52</v>
      </c>
      <c r="L226" s="47">
        <f t="shared" si="11"/>
        <v>-1.1594332780919257E-2</v>
      </c>
    </row>
    <row r="227" spans="2:12" x14ac:dyDescent="0.35">
      <c r="B227" s="36">
        <v>45055</v>
      </c>
      <c r="C227" s="35">
        <v>16.23</v>
      </c>
      <c r="D227" s="47">
        <f t="shared" si="11"/>
        <v>1.2856008101533955E-2</v>
      </c>
      <c r="E227" s="35">
        <v>175.23</v>
      </c>
      <c r="F227" s="47">
        <f t="shared" si="11"/>
        <v>2.055988828482691E-2</v>
      </c>
      <c r="G227" s="35">
        <v>33.380000000000003</v>
      </c>
      <c r="H227" s="47">
        <f t="shared" si="11"/>
        <v>9.5409191246270831E-3</v>
      </c>
      <c r="I227" s="35">
        <v>9.75</v>
      </c>
      <c r="J227" s="47">
        <f t="shared" si="11"/>
        <v>6.1349885675159293E-3</v>
      </c>
      <c r="K227" s="35">
        <v>55.56</v>
      </c>
      <c r="L227" s="47">
        <f t="shared" si="11"/>
        <v>-7.2020168759392154E-4</v>
      </c>
    </row>
    <row r="228" spans="2:12" x14ac:dyDescent="0.35">
      <c r="B228" s="36">
        <v>45054</v>
      </c>
      <c r="C228" s="35">
        <v>16.18</v>
      </c>
      <c r="D228" s="47">
        <f t="shared" si="11"/>
        <v>3.0854698961542233E-3</v>
      </c>
      <c r="E228" s="35">
        <v>177.5</v>
      </c>
      <c r="F228" s="47">
        <f t="shared" si="11"/>
        <v>-1.2871212195142876E-2</v>
      </c>
      <c r="G228" s="35">
        <v>34.340000000000003</v>
      </c>
      <c r="H228" s="47">
        <f t="shared" si="11"/>
        <v>-2.8353937235640475E-2</v>
      </c>
      <c r="I228" s="35">
        <v>10.07</v>
      </c>
      <c r="J228" s="47">
        <f t="shared" si="11"/>
        <v>-3.229342172071515E-2</v>
      </c>
      <c r="K228" s="35">
        <v>53.84</v>
      </c>
      <c r="L228" s="47">
        <f t="shared" ref="L228:L252" si="12">IFERROR(LN(K227/K228),"")</f>
        <v>3.1446832549670539E-2</v>
      </c>
    </row>
    <row r="229" spans="2:12" x14ac:dyDescent="0.35">
      <c r="B229" s="36">
        <v>45051</v>
      </c>
      <c r="C229" s="35">
        <v>16.260000000000002</v>
      </c>
      <c r="D229" s="47">
        <f t="shared" si="11"/>
        <v>-4.9321924893190585E-3</v>
      </c>
      <c r="E229" s="35">
        <v>179.1</v>
      </c>
      <c r="F229" s="47">
        <f t="shared" si="11"/>
        <v>-8.9737001511956214E-3</v>
      </c>
      <c r="G229" s="35">
        <v>34.1</v>
      </c>
      <c r="H229" s="47">
        <f t="shared" si="11"/>
        <v>7.0134711798584045E-3</v>
      </c>
      <c r="I229" s="35">
        <v>10.210000000000001</v>
      </c>
      <c r="J229" s="47">
        <f t="shared" si="11"/>
        <v>-1.38069254461033E-2</v>
      </c>
      <c r="K229" s="35">
        <v>54.75</v>
      </c>
      <c r="L229" s="47">
        <f t="shared" si="12"/>
        <v>-1.6760683360137751E-2</v>
      </c>
    </row>
    <row r="230" spans="2:12" x14ac:dyDescent="0.35">
      <c r="B230" s="36">
        <v>45050</v>
      </c>
      <c r="C230" s="35">
        <v>15.59</v>
      </c>
      <c r="D230" s="47">
        <f t="shared" si="11"/>
        <v>4.2078421049979386E-2</v>
      </c>
      <c r="E230" s="35">
        <v>178.69</v>
      </c>
      <c r="F230" s="47">
        <f t="shared" si="11"/>
        <v>2.2918481760960578E-3</v>
      </c>
      <c r="G230" s="35">
        <v>34.33</v>
      </c>
      <c r="H230" s="47">
        <f t="shared" si="11"/>
        <v>-6.7222231801295209E-3</v>
      </c>
      <c r="I230" s="35">
        <v>9.9</v>
      </c>
      <c r="J230" s="47">
        <f t="shared" si="11"/>
        <v>3.0832875036030032E-2</v>
      </c>
      <c r="K230" s="35">
        <v>51.06</v>
      </c>
      <c r="L230" s="47">
        <f t="shared" si="12"/>
        <v>6.9775956883272441E-2</v>
      </c>
    </row>
    <row r="231" spans="2:12" x14ac:dyDescent="0.35">
      <c r="B231" s="36">
        <v>45049</v>
      </c>
      <c r="C231" s="35">
        <v>15.54</v>
      </c>
      <c r="D231" s="47">
        <f t="shared" si="11"/>
        <v>3.2123381301837994E-3</v>
      </c>
      <c r="E231" s="35">
        <v>178.04</v>
      </c>
      <c r="F231" s="47">
        <f t="shared" si="11"/>
        <v>3.6442167429163448E-3</v>
      </c>
      <c r="G231" s="35">
        <v>34.76</v>
      </c>
      <c r="H231" s="47">
        <f t="shared" si="11"/>
        <v>-1.2447692927590627E-2</v>
      </c>
      <c r="I231" s="35">
        <v>10.119999999999999</v>
      </c>
      <c r="J231" s="47">
        <f t="shared" si="11"/>
        <v>-2.1978906718775115E-2</v>
      </c>
      <c r="K231" s="35">
        <v>51.02</v>
      </c>
      <c r="L231" s="47">
        <f t="shared" si="12"/>
        <v>7.8369909967236368E-4</v>
      </c>
    </row>
    <row r="232" spans="2:12" x14ac:dyDescent="0.35">
      <c r="B232" s="36">
        <v>45048</v>
      </c>
      <c r="C232" s="35">
        <v>15.59</v>
      </c>
      <c r="D232" s="47">
        <f t="shared" si="11"/>
        <v>-3.2123381301838445E-3</v>
      </c>
      <c r="E232" s="35">
        <v>177.15</v>
      </c>
      <c r="F232" s="47">
        <f t="shared" si="11"/>
        <v>5.0114128361724635E-3</v>
      </c>
      <c r="G232" s="35">
        <v>35.21</v>
      </c>
      <c r="H232" s="47">
        <f t="shared" si="11"/>
        <v>-1.2862832769769907E-2</v>
      </c>
      <c r="I232" s="35">
        <v>10.01</v>
      </c>
      <c r="J232" s="47">
        <f t="shared" si="11"/>
        <v>1.092907053219023E-2</v>
      </c>
      <c r="K232" s="35">
        <v>51.59</v>
      </c>
      <c r="L232" s="47">
        <f t="shared" si="12"/>
        <v>-1.111014254289317E-2</v>
      </c>
    </row>
    <row r="233" spans="2:12" x14ac:dyDescent="0.35">
      <c r="B233" s="36">
        <v>45047</v>
      </c>
      <c r="C233" s="35">
        <v>15.54</v>
      </c>
      <c r="D233" s="47">
        <f t="shared" si="11"/>
        <v>3.2123381301837994E-3</v>
      </c>
      <c r="E233" s="35">
        <v>180</v>
      </c>
      <c r="F233" s="47">
        <f t="shared" si="11"/>
        <v>-1.5960019578729293E-2</v>
      </c>
      <c r="G233" s="35">
        <v>35.799999999999997</v>
      </c>
      <c r="H233" s="47">
        <f t="shared" si="11"/>
        <v>-1.6617760239693333E-2</v>
      </c>
      <c r="I233" s="35">
        <v>10.69</v>
      </c>
      <c r="J233" s="47">
        <f t="shared" si="11"/>
        <v>-6.5724131709824635E-2</v>
      </c>
      <c r="K233" s="35">
        <v>54.02</v>
      </c>
      <c r="L233" s="47">
        <f t="shared" si="12"/>
        <v>-4.6026493107910967E-2</v>
      </c>
    </row>
    <row r="234" spans="2:12" x14ac:dyDescent="0.35">
      <c r="B234" s="36">
        <v>45044</v>
      </c>
      <c r="C234" s="35">
        <v>15.59</v>
      </c>
      <c r="D234" s="47">
        <f t="shared" si="11"/>
        <v>-3.2123381301838445E-3</v>
      </c>
      <c r="E234" s="35">
        <v>179.08</v>
      </c>
      <c r="F234" s="47">
        <f t="shared" si="11"/>
        <v>5.1242175174455703E-3</v>
      </c>
      <c r="G234" s="35">
        <v>36.75</v>
      </c>
      <c r="H234" s="47">
        <f t="shared" si="11"/>
        <v>-2.6190332252191112E-2</v>
      </c>
      <c r="I234" s="35">
        <v>10.7</v>
      </c>
      <c r="J234" s="47">
        <f t="shared" si="11"/>
        <v>-9.3501643090664304E-4</v>
      </c>
      <c r="K234" s="35">
        <v>53.45</v>
      </c>
      <c r="L234" s="47">
        <f t="shared" si="12"/>
        <v>1.0607710893415315E-2</v>
      </c>
    </row>
    <row r="235" spans="2:12" x14ac:dyDescent="0.35">
      <c r="B235" s="36">
        <v>45043</v>
      </c>
      <c r="C235" s="35">
        <v>15.41</v>
      </c>
      <c r="D235" s="47">
        <f t="shared" si="11"/>
        <v>1.161303373766086E-2</v>
      </c>
      <c r="E235" s="35">
        <v>175.05</v>
      </c>
      <c r="F235" s="47">
        <f t="shared" si="11"/>
        <v>2.2760985972090138E-2</v>
      </c>
      <c r="G235" s="35">
        <v>36.409999999999997</v>
      </c>
      <c r="H235" s="47">
        <f t="shared" si="11"/>
        <v>9.2947634715036496E-3</v>
      </c>
      <c r="I235" s="35">
        <v>10.73</v>
      </c>
      <c r="J235" s="47">
        <f t="shared" si="11"/>
        <v>-2.799815174746716E-3</v>
      </c>
      <c r="K235" s="35">
        <v>54.73</v>
      </c>
      <c r="L235" s="47">
        <f t="shared" si="12"/>
        <v>-2.366536768477244E-2</v>
      </c>
    </row>
    <row r="236" spans="2:12" x14ac:dyDescent="0.35">
      <c r="B236" s="36">
        <v>45042</v>
      </c>
      <c r="C236" s="35">
        <v>15.21</v>
      </c>
      <c r="D236" s="47">
        <f t="shared" si="11"/>
        <v>1.3063543060822816E-2</v>
      </c>
      <c r="E236" s="35">
        <v>177</v>
      </c>
      <c r="F236" s="47">
        <f t="shared" si="11"/>
        <v>-1.1078085173154339E-2</v>
      </c>
      <c r="G236" s="35">
        <v>35.6</v>
      </c>
      <c r="H236" s="47">
        <f t="shared" si="11"/>
        <v>2.2497824329357125E-2</v>
      </c>
      <c r="I236" s="35">
        <v>10.63</v>
      </c>
      <c r="J236" s="47">
        <f t="shared" si="11"/>
        <v>9.363364288750552E-3</v>
      </c>
      <c r="K236" s="35">
        <v>53.83</v>
      </c>
      <c r="L236" s="47">
        <f t="shared" si="12"/>
        <v>1.6581072582960845E-2</v>
      </c>
    </row>
    <row r="237" spans="2:12" x14ac:dyDescent="0.35">
      <c r="B237" s="36">
        <v>45041</v>
      </c>
      <c r="C237" s="35">
        <v>15.17</v>
      </c>
      <c r="D237" s="47">
        <f t="shared" si="11"/>
        <v>2.6333129107607525E-3</v>
      </c>
      <c r="E237" s="35">
        <v>178.84</v>
      </c>
      <c r="F237" s="47">
        <f t="shared" si="11"/>
        <v>-1.0341818791950704E-2</v>
      </c>
      <c r="G237" s="35">
        <v>34.72</v>
      </c>
      <c r="H237" s="47">
        <f t="shared" si="11"/>
        <v>2.5029748065835515E-2</v>
      </c>
      <c r="I237" s="35">
        <v>10.49</v>
      </c>
      <c r="J237" s="47">
        <f t="shared" si="11"/>
        <v>1.3257769945650718E-2</v>
      </c>
      <c r="K237" s="35">
        <v>53.47</v>
      </c>
      <c r="L237" s="47">
        <f t="shared" si="12"/>
        <v>6.7101836122256389E-3</v>
      </c>
    </row>
    <row r="238" spans="2:12" x14ac:dyDescent="0.35">
      <c r="B238" s="36">
        <v>45040</v>
      </c>
      <c r="C238" s="35">
        <v>15.45</v>
      </c>
      <c r="D238" s="47">
        <f t="shared" si="11"/>
        <v>-1.8289209983313594E-2</v>
      </c>
      <c r="E238" s="35">
        <v>186.36</v>
      </c>
      <c r="F238" s="47">
        <f t="shared" si="11"/>
        <v>-4.1188735582816202E-2</v>
      </c>
      <c r="G238" s="35">
        <v>36.43</v>
      </c>
      <c r="H238" s="47">
        <f t="shared" si="11"/>
        <v>-4.8076721228323002E-2</v>
      </c>
      <c r="I238" s="35">
        <v>11.48</v>
      </c>
      <c r="J238" s="47">
        <f t="shared" si="11"/>
        <v>-9.0183968483214569E-2</v>
      </c>
      <c r="K238" s="35">
        <v>56.29</v>
      </c>
      <c r="L238" s="47">
        <f t="shared" si="12"/>
        <v>-5.1396150515295058E-2</v>
      </c>
    </row>
    <row r="239" spans="2:12" x14ac:dyDescent="0.35">
      <c r="B239" s="36">
        <v>45037</v>
      </c>
      <c r="C239" s="35">
        <v>15.71</v>
      </c>
      <c r="D239" s="47">
        <f t="shared" si="11"/>
        <v>-1.6688448923775447E-2</v>
      </c>
      <c r="E239" s="35">
        <v>185.52</v>
      </c>
      <c r="F239" s="47">
        <f t="shared" si="11"/>
        <v>4.5175940013198581E-3</v>
      </c>
      <c r="G239" s="35">
        <v>36.450000000000003</v>
      </c>
      <c r="H239" s="47">
        <f t="shared" si="11"/>
        <v>-5.4884743419484272E-4</v>
      </c>
      <c r="I239" s="35">
        <v>11.86</v>
      </c>
      <c r="J239" s="47">
        <f t="shared" si="11"/>
        <v>-3.2565002678158914E-2</v>
      </c>
      <c r="K239" s="35">
        <v>57.27</v>
      </c>
      <c r="L239" s="47">
        <f t="shared" si="12"/>
        <v>-1.7260026929830793E-2</v>
      </c>
    </row>
    <row r="240" spans="2:12" x14ac:dyDescent="0.35">
      <c r="B240" s="36">
        <v>45036</v>
      </c>
      <c r="C240" s="35">
        <v>15.09</v>
      </c>
      <c r="D240" s="47">
        <f t="shared" si="11"/>
        <v>4.0265179487772335E-2</v>
      </c>
      <c r="E240" s="35">
        <v>183.35</v>
      </c>
      <c r="F240" s="47">
        <f t="shared" si="11"/>
        <v>1.1765798429941195E-2</v>
      </c>
      <c r="G240" s="35">
        <v>35.82</v>
      </c>
      <c r="H240" s="47">
        <f t="shared" si="11"/>
        <v>1.7435061822101566E-2</v>
      </c>
      <c r="I240" s="35">
        <v>11.04</v>
      </c>
      <c r="J240" s="47">
        <f t="shared" si="11"/>
        <v>7.1646352720630135E-2</v>
      </c>
      <c r="K240" s="35">
        <v>57.06</v>
      </c>
      <c r="L240" s="47">
        <f t="shared" si="12"/>
        <v>3.6735806204119766E-3</v>
      </c>
    </row>
    <row r="241" spans="2:12" x14ac:dyDescent="0.35">
      <c r="B241" s="36">
        <v>45035</v>
      </c>
      <c r="C241" s="35">
        <v>15.48</v>
      </c>
      <c r="D241" s="47">
        <f t="shared" si="11"/>
        <v>-2.5516595381823572E-2</v>
      </c>
      <c r="E241" s="35">
        <v>181.75</v>
      </c>
      <c r="F241" s="47">
        <f t="shared" si="11"/>
        <v>8.7647781037062805E-3</v>
      </c>
      <c r="G241" s="35">
        <v>35.97</v>
      </c>
      <c r="H241" s="47">
        <f t="shared" si="11"/>
        <v>-4.1788610749668329E-3</v>
      </c>
      <c r="I241" s="35">
        <v>11.23</v>
      </c>
      <c r="J241" s="47">
        <f t="shared" si="11"/>
        <v>-1.7063727901402641E-2</v>
      </c>
      <c r="K241" s="35">
        <v>57.74</v>
      </c>
      <c r="L241" s="47">
        <f t="shared" si="12"/>
        <v>-1.184682844943508E-2</v>
      </c>
    </row>
    <row r="242" spans="2:12" x14ac:dyDescent="0.35">
      <c r="B242" s="36">
        <v>45034</v>
      </c>
      <c r="C242" s="35">
        <v>14.92</v>
      </c>
      <c r="D242" s="47">
        <f t="shared" si="11"/>
        <v>3.6846273385966292E-2</v>
      </c>
      <c r="E242" s="35">
        <v>183.04</v>
      </c>
      <c r="F242" s="47">
        <f t="shared" si="11"/>
        <v>-7.0725917778042572E-3</v>
      </c>
      <c r="G242" s="35">
        <v>35.72</v>
      </c>
      <c r="H242" s="47">
        <f t="shared" si="11"/>
        <v>6.9745016992343225E-3</v>
      </c>
      <c r="I242" s="35">
        <v>10.98</v>
      </c>
      <c r="J242" s="47">
        <f t="shared" si="11"/>
        <v>2.2513332668967229E-2</v>
      </c>
      <c r="K242" s="35">
        <v>58.28</v>
      </c>
      <c r="L242" s="47">
        <f t="shared" si="12"/>
        <v>-9.3088070922150851E-3</v>
      </c>
    </row>
    <row r="243" spans="2:12" x14ac:dyDescent="0.35">
      <c r="B243" s="36">
        <v>45033</v>
      </c>
      <c r="C243" s="35">
        <v>15.29</v>
      </c>
      <c r="D243" s="47">
        <f t="shared" si="11"/>
        <v>-2.4496425165356061E-2</v>
      </c>
      <c r="E243" s="35">
        <v>179.03</v>
      </c>
      <c r="F243" s="47">
        <f t="shared" si="11"/>
        <v>2.215131862825127E-2</v>
      </c>
      <c r="G243" s="35">
        <v>34.520000000000003</v>
      </c>
      <c r="H243" s="47">
        <f t="shared" si="11"/>
        <v>3.4171889793070905E-2</v>
      </c>
      <c r="I243" s="35">
        <v>10.99</v>
      </c>
      <c r="J243" s="47">
        <f t="shared" si="11"/>
        <v>-9.1033233414537372E-4</v>
      </c>
      <c r="K243" s="35">
        <v>58.77</v>
      </c>
      <c r="L243" s="47">
        <f t="shared" si="12"/>
        <v>-8.3725392975549841E-3</v>
      </c>
    </row>
    <row r="244" spans="2:12" x14ac:dyDescent="0.35">
      <c r="B244" s="36">
        <v>45030</v>
      </c>
      <c r="C244" s="35">
        <v>15.16</v>
      </c>
      <c r="D244" s="47">
        <f t="shared" si="11"/>
        <v>8.5386397267452063E-3</v>
      </c>
      <c r="E244" s="35">
        <v>178.94</v>
      </c>
      <c r="F244" s="47">
        <f t="shared" si="11"/>
        <v>5.0283544373169785E-4</v>
      </c>
      <c r="G244" s="35">
        <v>34.130000000000003</v>
      </c>
      <c r="H244" s="47">
        <f t="shared" si="11"/>
        <v>1.1362103296611607E-2</v>
      </c>
      <c r="I244" s="35">
        <v>10.82</v>
      </c>
      <c r="J244" s="47">
        <f t="shared" si="11"/>
        <v>1.5589494997194617E-2</v>
      </c>
      <c r="K244" s="35">
        <v>57.08</v>
      </c>
      <c r="L244" s="47">
        <f t="shared" si="12"/>
        <v>2.9177728015923495E-2</v>
      </c>
    </row>
    <row r="245" spans="2:12" x14ac:dyDescent="0.35">
      <c r="B245" s="36">
        <v>45029</v>
      </c>
      <c r="C245" s="35">
        <v>15.16</v>
      </c>
      <c r="D245" s="47">
        <f t="shared" si="11"/>
        <v>0</v>
      </c>
      <c r="E245" s="35">
        <v>180.8</v>
      </c>
      <c r="F245" s="47">
        <f t="shared" si="11"/>
        <v>-1.0340893838626316E-2</v>
      </c>
      <c r="G245" s="35">
        <v>34.56</v>
      </c>
      <c r="H245" s="47">
        <f t="shared" si="11"/>
        <v>-1.252018101723922E-2</v>
      </c>
      <c r="I245" s="35">
        <v>11.14</v>
      </c>
      <c r="J245" s="47">
        <f t="shared" si="11"/>
        <v>-2.9145961080802474E-2</v>
      </c>
      <c r="K245" s="35">
        <v>57.12</v>
      </c>
      <c r="L245" s="47">
        <f t="shared" si="12"/>
        <v>-7.0052542269327623E-4</v>
      </c>
    </row>
    <row r="246" spans="2:12" x14ac:dyDescent="0.35">
      <c r="B246" s="36">
        <v>45028</v>
      </c>
      <c r="C246" s="35">
        <v>14.99</v>
      </c>
      <c r="D246" s="47">
        <f t="shared" si="11"/>
        <v>1.1277068099719349E-2</v>
      </c>
      <c r="E246" s="35">
        <v>176.66</v>
      </c>
      <c r="F246" s="47">
        <f t="shared" si="11"/>
        <v>2.3164466641090134E-2</v>
      </c>
      <c r="G246" s="35">
        <v>34.01</v>
      </c>
      <c r="H246" s="47">
        <f t="shared" si="11"/>
        <v>1.6042344916750891E-2</v>
      </c>
      <c r="I246" s="35">
        <v>10.85</v>
      </c>
      <c r="J246" s="47">
        <f t="shared" si="11"/>
        <v>2.6377154512669487E-2</v>
      </c>
      <c r="K246" s="35">
        <v>57.41</v>
      </c>
      <c r="L246" s="47">
        <f t="shared" si="12"/>
        <v>-5.0641861482164929E-3</v>
      </c>
    </row>
    <row r="247" spans="2:12" x14ac:dyDescent="0.35">
      <c r="B247" s="36">
        <v>45027</v>
      </c>
      <c r="C247" s="35">
        <v>15.18</v>
      </c>
      <c r="D247" s="47">
        <f t="shared" si="11"/>
        <v>-1.2595459852977496E-2</v>
      </c>
      <c r="E247" s="35">
        <v>176.9</v>
      </c>
      <c r="F247" s="47">
        <f t="shared" si="11"/>
        <v>-1.3576198487534816E-3</v>
      </c>
      <c r="G247" s="35">
        <v>35.200000000000003</v>
      </c>
      <c r="H247" s="47">
        <f t="shared" si="11"/>
        <v>-3.4391483584947438E-2</v>
      </c>
      <c r="I247" s="35">
        <v>10.79</v>
      </c>
      <c r="J247" s="47">
        <f t="shared" si="11"/>
        <v>5.5453007164253691E-3</v>
      </c>
      <c r="K247" s="35">
        <v>58.09</v>
      </c>
      <c r="L247" s="47">
        <f t="shared" si="12"/>
        <v>-1.177502782489576E-2</v>
      </c>
    </row>
    <row r="248" spans="2:12" x14ac:dyDescent="0.35">
      <c r="B248" s="36">
        <v>45026</v>
      </c>
      <c r="C248" s="35">
        <v>14.96</v>
      </c>
      <c r="D248" s="47">
        <f t="shared" si="11"/>
        <v>1.4598799421152631E-2</v>
      </c>
      <c r="E248" s="35">
        <v>178.32</v>
      </c>
      <c r="F248" s="47">
        <f t="shared" si="11"/>
        <v>-7.9950879118737082E-3</v>
      </c>
      <c r="G248" s="35">
        <v>33.36</v>
      </c>
      <c r="H248" s="47">
        <f t="shared" si="11"/>
        <v>5.3688505113505494E-2</v>
      </c>
      <c r="I248" s="35">
        <v>10.45</v>
      </c>
      <c r="J248" s="47">
        <f t="shared" si="11"/>
        <v>3.2017800859223358E-2</v>
      </c>
      <c r="K248" s="35">
        <v>57.61</v>
      </c>
      <c r="L248" s="47">
        <f t="shared" si="12"/>
        <v>8.2973682601494535E-3</v>
      </c>
    </row>
    <row r="249" spans="2:12" x14ac:dyDescent="0.35">
      <c r="B249" s="36">
        <v>45022</v>
      </c>
      <c r="C249" s="35">
        <v>14.7</v>
      </c>
      <c r="D249" s="47">
        <f t="shared" si="11"/>
        <v>1.753247876164063E-2</v>
      </c>
      <c r="E249" s="35">
        <v>180.02</v>
      </c>
      <c r="F249" s="47">
        <f t="shared" si="11"/>
        <v>-9.4882667513258613E-3</v>
      </c>
      <c r="G249" s="35">
        <v>31.97</v>
      </c>
      <c r="H249" s="47">
        <f t="shared" si="11"/>
        <v>4.2559614418795903E-2</v>
      </c>
      <c r="I249" s="35">
        <v>10.47</v>
      </c>
      <c r="J249" s="47">
        <f t="shared" si="11"/>
        <v>-1.9120464716256575E-3</v>
      </c>
      <c r="K249" s="35">
        <v>56.99</v>
      </c>
      <c r="L249" s="47">
        <f t="shared" si="12"/>
        <v>1.0820349897383494E-2</v>
      </c>
    </row>
    <row r="250" spans="2:12" x14ac:dyDescent="0.35">
      <c r="B250" s="36">
        <v>45021</v>
      </c>
      <c r="C250" s="35">
        <v>14.82</v>
      </c>
      <c r="D250" s="47">
        <f t="shared" si="11"/>
        <v>-8.1301260832502883E-3</v>
      </c>
      <c r="E250" s="35">
        <v>180.07</v>
      </c>
      <c r="F250" s="47">
        <f t="shared" si="11"/>
        <v>-2.7770835247479132E-4</v>
      </c>
      <c r="G250" s="35">
        <v>30.84</v>
      </c>
      <c r="H250" s="47">
        <f t="shared" si="11"/>
        <v>3.5985414376621214E-2</v>
      </c>
      <c r="I250" s="35">
        <v>10.19</v>
      </c>
      <c r="J250" s="47">
        <f t="shared" si="11"/>
        <v>2.7107177647812154E-2</v>
      </c>
      <c r="K250" s="35">
        <v>55.81</v>
      </c>
      <c r="L250" s="47">
        <f t="shared" si="12"/>
        <v>2.0922749046565974E-2</v>
      </c>
    </row>
    <row r="251" spans="2:12" x14ac:dyDescent="0.35">
      <c r="B251" s="36">
        <v>45020</v>
      </c>
      <c r="C251" s="35">
        <v>15.1</v>
      </c>
      <c r="D251" s="47">
        <f t="shared" si="11"/>
        <v>-1.8717123952937755E-2</v>
      </c>
      <c r="E251" s="35">
        <v>181.42</v>
      </c>
      <c r="F251" s="47">
        <f t="shared" si="11"/>
        <v>-7.4691210053839203E-3</v>
      </c>
      <c r="G251" s="35">
        <v>31.65</v>
      </c>
      <c r="H251" s="47">
        <f t="shared" si="11"/>
        <v>-2.5925599895056384E-2</v>
      </c>
      <c r="I251" s="35">
        <v>10.199999999999999</v>
      </c>
      <c r="J251" s="47">
        <f t="shared" si="11"/>
        <v>-9.8087305559194809E-4</v>
      </c>
      <c r="K251" s="35">
        <v>55.9</v>
      </c>
      <c r="L251" s="47">
        <f t="shared" si="12"/>
        <v>-1.6113153607111603E-3</v>
      </c>
    </row>
    <row r="252" spans="2:12" x14ac:dyDescent="0.35">
      <c r="B252" s="36">
        <v>45019</v>
      </c>
      <c r="C252" s="35">
        <v>14.7</v>
      </c>
      <c r="D252" s="47">
        <f t="shared" si="11"/>
        <v>2.6847250036188056E-2</v>
      </c>
      <c r="E252" s="35">
        <v>181.11</v>
      </c>
      <c r="F252" s="47">
        <f t="shared" si="11"/>
        <v>1.71020371035356E-3</v>
      </c>
      <c r="G252" s="35">
        <v>31.49</v>
      </c>
      <c r="H252" s="47">
        <f t="shared" si="11"/>
        <v>5.068113477251817E-3</v>
      </c>
      <c r="I252" s="35">
        <v>10.16</v>
      </c>
      <c r="J252" s="47">
        <f t="shared" si="11"/>
        <v>3.929278139889557E-3</v>
      </c>
      <c r="K252" s="35">
        <v>57.33</v>
      </c>
      <c r="L252" s="47">
        <f t="shared" si="12"/>
        <v>-2.5259666759237877E-2</v>
      </c>
    </row>
  </sheetData>
  <mergeCells count="6">
    <mergeCell ref="N10:O10"/>
    <mergeCell ref="C2:D2"/>
    <mergeCell ref="E2:F2"/>
    <mergeCell ref="G2:H2"/>
    <mergeCell ref="I2:J2"/>
    <mergeCell ref="K2:L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8E554-0B56-4EA3-B9B2-F29528D23B07}">
  <dimension ref="B2:L30"/>
  <sheetViews>
    <sheetView showGridLines="0" topLeftCell="A4" workbookViewId="0">
      <selection activeCell="C31" sqref="C31"/>
    </sheetView>
  </sheetViews>
  <sheetFormatPr defaultRowHeight="14.4" outlineLevelCol="1" x14ac:dyDescent="0.35"/>
  <cols>
    <col min="1" max="1" width="3.6640625" style="65" customWidth="1"/>
    <col min="2" max="2" width="13" style="65" bestFit="1" customWidth="1"/>
    <col min="3" max="3" width="79.5546875" style="65" customWidth="1"/>
    <col min="4" max="4" width="13.44140625" style="65" bestFit="1" customWidth="1"/>
    <col min="5" max="6" width="11.77734375" style="65" bestFit="1" customWidth="1"/>
    <col min="7" max="7" width="16.77734375" style="65" bestFit="1" customWidth="1"/>
    <col min="8" max="8" width="13.6640625" style="65" hidden="1" customWidth="1" outlineLevel="1"/>
    <col min="9" max="9" width="12.77734375" style="65" hidden="1" customWidth="1" outlineLevel="1"/>
    <col min="10" max="10" width="11" style="65" bestFit="1" customWidth="1" collapsed="1"/>
    <col min="11" max="11" width="15" style="65" bestFit="1" customWidth="1"/>
    <col min="12" max="12" width="14.21875" style="65" bestFit="1" customWidth="1"/>
    <col min="13" max="16384" width="8.88671875" style="65"/>
  </cols>
  <sheetData>
    <row r="2" spans="2:12" x14ac:dyDescent="0.35">
      <c r="B2" s="131" t="s">
        <v>160</v>
      </c>
      <c r="C2" s="131"/>
      <c r="D2" s="64"/>
    </row>
    <row r="4" spans="2:12" x14ac:dyDescent="0.35">
      <c r="B4" s="66" t="s">
        <v>169</v>
      </c>
      <c r="C4" s="66" t="s">
        <v>170</v>
      </c>
      <c r="D4" s="66"/>
      <c r="E4" s="67">
        <f>824719/(10^3)</f>
        <v>824.71900000000005</v>
      </c>
      <c r="F4" s="67">
        <f>343753/(10^3)</f>
        <v>343.75299999999999</v>
      </c>
      <c r="G4" s="68">
        <f>F4/E4</f>
        <v>0.41681227181621855</v>
      </c>
      <c r="H4" s="69"/>
      <c r="I4" s="69"/>
      <c r="J4" s="70"/>
      <c r="L4" s="70" t="s">
        <v>171</v>
      </c>
    </row>
    <row r="5" spans="2:12" x14ac:dyDescent="0.35">
      <c r="B5" s="71" t="s">
        <v>136</v>
      </c>
      <c r="C5" s="72" t="s">
        <v>123</v>
      </c>
      <c r="D5" s="73" t="s">
        <v>172</v>
      </c>
      <c r="E5" s="73" t="s">
        <v>173</v>
      </c>
      <c r="F5" s="73" t="s">
        <v>174</v>
      </c>
      <c r="G5" s="73" t="s">
        <v>175</v>
      </c>
      <c r="H5" s="73" t="s">
        <v>176</v>
      </c>
      <c r="I5" s="73" t="s">
        <v>177</v>
      </c>
      <c r="J5" s="74" t="s">
        <v>178</v>
      </c>
      <c r="K5" s="73" t="s">
        <v>176</v>
      </c>
      <c r="L5" s="73" t="s">
        <v>177</v>
      </c>
    </row>
    <row r="6" spans="2:12" x14ac:dyDescent="0.35">
      <c r="B6" s="75" t="str">
        <f>'Comps Set'!B5</f>
        <v>NAS:RCM</v>
      </c>
      <c r="C6" s="76" t="str">
        <f>'Comps Set'!C5</f>
        <v>R1 RCM</v>
      </c>
      <c r="D6" s="77">
        <f>6128411/(10^3)</f>
        <v>6128.4110000000001</v>
      </c>
      <c r="E6" s="77">
        <f>2312500/(10^3)</f>
        <v>2312.5</v>
      </c>
      <c r="F6" s="77">
        <f>624300/(10^3)</f>
        <v>624.29999999999995</v>
      </c>
      <c r="G6" s="78">
        <f>F6/E6</f>
        <v>0.26996756756756757</v>
      </c>
      <c r="H6" s="79">
        <f>D6/E6</f>
        <v>2.6501236756756756</v>
      </c>
      <c r="I6" s="79">
        <f>D6/F6</f>
        <v>9.8164520262694221</v>
      </c>
      <c r="J6" s="80">
        <v>1</v>
      </c>
      <c r="K6" s="79">
        <f>IF($J6=1,H6,"")</f>
        <v>2.6501236756756756</v>
      </c>
      <c r="L6" s="79">
        <f>IF($J6=1,I6,"")</f>
        <v>9.8164520262694221</v>
      </c>
    </row>
    <row r="7" spans="2:12" x14ac:dyDescent="0.35">
      <c r="B7" s="75" t="str">
        <f>'Comps Set'!B6</f>
        <v>NYSE:PHR</v>
      </c>
      <c r="C7" s="76" t="str">
        <f>'Comps Set'!C6</f>
        <v>Phreesia</v>
      </c>
      <c r="D7" s="77">
        <f>1185707/(10^3)</f>
        <v>1185.7070000000001</v>
      </c>
      <c r="E7" s="77">
        <f>373671/(10^3)</f>
        <v>373.67099999999999</v>
      </c>
      <c r="F7" s="77">
        <f>-17513/(10^3)</f>
        <v>-17.513000000000002</v>
      </c>
      <c r="G7" s="78">
        <f t="shared" ref="G7:G14" si="0">F7/E7</f>
        <v>-4.6867431510606933E-2</v>
      </c>
      <c r="H7" s="79">
        <f t="shared" ref="H7:H14" si="1">D7/E7</f>
        <v>3.1731309092758071</v>
      </c>
      <c r="I7" s="79">
        <f t="shared" ref="I7:I14" si="2">D7/F7</f>
        <v>-67.704391023810885</v>
      </c>
      <c r="J7" s="81" t="s">
        <v>179</v>
      </c>
      <c r="K7" s="79" t="str">
        <f t="shared" ref="K7:K14" si="3">IF($J7=1,H7,"")</f>
        <v/>
      </c>
      <c r="L7" s="79" t="str">
        <f t="shared" ref="L7:L14" si="4">IF($J7=1,I7,"")</f>
        <v/>
      </c>
    </row>
    <row r="8" spans="2:12" x14ac:dyDescent="0.35">
      <c r="B8" s="75" t="str">
        <f>'Comps Set'!B7</f>
        <v>NYSE:EVH</v>
      </c>
      <c r="C8" s="76" t="str">
        <f>'Comps Set'!C7</f>
        <v>Evolent Health</v>
      </c>
      <c r="D8" s="77">
        <f>4444659/(10^3)</f>
        <v>4444.6589999999997</v>
      </c>
      <c r="E8" s="77">
        <f>2353868/(10^3)</f>
        <v>2353.8679999999999</v>
      </c>
      <c r="F8" s="77">
        <f>202816/(10^3)</f>
        <v>202.816</v>
      </c>
      <c r="G8" s="78">
        <f t="shared" si="0"/>
        <v>8.6162860449269033E-2</v>
      </c>
      <c r="H8" s="79">
        <f t="shared" si="1"/>
        <v>1.8882362987219334</v>
      </c>
      <c r="I8" s="79">
        <f t="shared" si="2"/>
        <v>21.914735523824547</v>
      </c>
      <c r="J8" s="81" t="s">
        <v>180</v>
      </c>
      <c r="K8" s="79" t="str">
        <f t="shared" si="3"/>
        <v/>
      </c>
      <c r="L8" s="79" t="str">
        <f t="shared" si="4"/>
        <v/>
      </c>
    </row>
    <row r="9" spans="2:12" x14ac:dyDescent="0.35">
      <c r="B9" s="75" t="str">
        <f>'Comps Set'!B8</f>
        <v>NAS:HCAT</v>
      </c>
      <c r="C9" s="76" t="str">
        <f>'Comps Set'!C8</f>
        <v>Health Catalyst</v>
      </c>
      <c r="D9" s="77">
        <f>386045/(10^3)</f>
        <v>386.04500000000002</v>
      </c>
      <c r="E9" s="77">
        <f>296793/(10^3)</f>
        <v>296.79300000000001</v>
      </c>
      <c r="F9" s="77">
        <f>12536/(10^3)</f>
        <v>12.536</v>
      </c>
      <c r="G9" s="78">
        <f t="shared" si="0"/>
        <v>4.2238192949294623E-2</v>
      </c>
      <c r="H9" s="79">
        <f t="shared" si="1"/>
        <v>1.3007213781996205</v>
      </c>
      <c r="I9" s="79">
        <f t="shared" si="2"/>
        <v>30.794910657306957</v>
      </c>
      <c r="J9" s="81" t="s">
        <v>180</v>
      </c>
      <c r="K9" s="79" t="str">
        <f t="shared" si="3"/>
        <v/>
      </c>
      <c r="L9" s="79" t="str">
        <f t="shared" si="4"/>
        <v/>
      </c>
    </row>
    <row r="10" spans="2:12" x14ac:dyDescent="0.35">
      <c r="B10" s="75" t="str">
        <f>'Comps Set'!B9</f>
        <v>NYSE:VEEV</v>
      </c>
      <c r="C10" s="76" t="str">
        <f>'Comps Set'!C9</f>
        <v>Veeva Systems</v>
      </c>
      <c r="D10" s="77">
        <f>32925272/(10^3)</f>
        <v>32925.271999999997</v>
      </c>
      <c r="E10" s="77">
        <f>2487693/(10^3)</f>
        <v>2487.6930000000002</v>
      </c>
      <c r="F10" s="77">
        <f>1135648/(10^3)</f>
        <v>1135.6479999999999</v>
      </c>
      <c r="G10" s="78">
        <f t="shared" si="0"/>
        <v>0.4565064901497089</v>
      </c>
      <c r="H10" s="79">
        <f t="shared" si="1"/>
        <v>13.235263354441241</v>
      </c>
      <c r="I10" s="79">
        <f t="shared" si="2"/>
        <v>28.992497675336018</v>
      </c>
      <c r="J10" s="109">
        <v>1</v>
      </c>
      <c r="K10" s="79">
        <f t="shared" si="3"/>
        <v>13.235263354441241</v>
      </c>
      <c r="L10" s="79">
        <f t="shared" si="4"/>
        <v>28.992497675336018</v>
      </c>
    </row>
    <row r="11" spans="2:12" x14ac:dyDescent="0.35">
      <c r="B11" s="75" t="str">
        <f>'Comps Set'!B10</f>
        <v>NYSE:DOCS</v>
      </c>
      <c r="C11" s="76" t="str">
        <f>'Comps Set'!C10</f>
        <v>Doximity</v>
      </c>
      <c r="D11" s="77">
        <f>4500340/(10^3)</f>
        <v>4500.34</v>
      </c>
      <c r="E11" s="77">
        <f>475422/(10^3)</f>
        <v>475.42200000000003</v>
      </c>
      <c r="F11" s="77">
        <f>230249/(10^3)</f>
        <v>230.249</v>
      </c>
      <c r="G11" s="78">
        <f t="shared" si="0"/>
        <v>0.48430447055458092</v>
      </c>
      <c r="H11" s="79">
        <f t="shared" si="1"/>
        <v>9.465990215008981</v>
      </c>
      <c r="I11" s="79">
        <f t="shared" si="2"/>
        <v>19.545535485496139</v>
      </c>
      <c r="J11" s="80">
        <v>1</v>
      </c>
      <c r="K11" s="79">
        <f t="shared" si="3"/>
        <v>9.465990215008981</v>
      </c>
      <c r="L11" s="79">
        <f t="shared" si="4"/>
        <v>19.545535485496139</v>
      </c>
    </row>
    <row r="12" spans="2:12" x14ac:dyDescent="0.35">
      <c r="B12" s="75" t="str">
        <f>'Comps Set'!B11</f>
        <v>NAS:DH</v>
      </c>
      <c r="C12" s="76" t="str">
        <f>'Comps Set'!C11</f>
        <v>Definitive Healthcare</v>
      </c>
      <c r="D12" s="77">
        <f>1250056/(10^3)</f>
        <v>1250.056</v>
      </c>
      <c r="E12" s="77">
        <f>255694/(10^3)</f>
        <v>255.69399999999999</v>
      </c>
      <c r="F12" s="77">
        <f>40596/(10^3)</f>
        <v>40.595999999999997</v>
      </c>
      <c r="G12" s="78">
        <f t="shared" si="0"/>
        <v>0.15876790225816795</v>
      </c>
      <c r="H12" s="79">
        <f t="shared" si="1"/>
        <v>4.8888749833785701</v>
      </c>
      <c r="I12" s="79">
        <f t="shared" si="2"/>
        <v>30.792590402995373</v>
      </c>
      <c r="J12" s="80">
        <v>1</v>
      </c>
      <c r="K12" s="79">
        <f t="shared" si="3"/>
        <v>4.8888749833785701</v>
      </c>
      <c r="L12" s="79">
        <f t="shared" si="4"/>
        <v>30.792590402995373</v>
      </c>
    </row>
    <row r="13" spans="2:12" x14ac:dyDescent="0.35">
      <c r="B13" s="75" t="str">
        <f>'Comps Set'!B12</f>
        <v>NAS:TBRG</v>
      </c>
      <c r="C13" s="76" t="str">
        <f>'Comps Set'!C12</f>
        <v>TruBridge</v>
      </c>
      <c r="D13" s="77">
        <f>334541/(10^3)</f>
        <v>334.541</v>
      </c>
      <c r="E13" s="77">
        <f>334848/(10^3)</f>
        <v>334.84800000000001</v>
      </c>
      <c r="F13" s="77">
        <f>41038/(10^3)</f>
        <v>41.037999999999997</v>
      </c>
      <c r="G13" s="78">
        <f t="shared" si="0"/>
        <v>0.12255710053516818</v>
      </c>
      <c r="H13" s="79">
        <f t="shared" si="1"/>
        <v>0.99908316609327208</v>
      </c>
      <c r="I13" s="79">
        <f t="shared" si="2"/>
        <v>8.1519810906964274</v>
      </c>
      <c r="J13" s="80">
        <v>1</v>
      </c>
      <c r="K13" s="79">
        <f t="shared" si="3"/>
        <v>0.99908316609327208</v>
      </c>
      <c r="L13" s="79">
        <f t="shared" si="4"/>
        <v>8.1519810906964274</v>
      </c>
    </row>
    <row r="14" spans="2:12" ht="15" thickBot="1" x14ac:dyDescent="0.4">
      <c r="B14" s="75" t="str">
        <f>'Comps Set'!B13</f>
        <v>NAS:HQY</v>
      </c>
      <c r="C14" s="76" t="str">
        <f>'Comps Set'!C13</f>
        <v>HealthEquity</v>
      </c>
      <c r="D14" s="77">
        <f>7637968/(10^3)</f>
        <v>7637.9679999999998</v>
      </c>
      <c r="E14" s="77">
        <f>1042752/(10^3)</f>
        <v>1042.752</v>
      </c>
      <c r="F14" s="77">
        <f>393114/(10^3)</f>
        <v>393.11399999999998</v>
      </c>
      <c r="G14" s="78">
        <f t="shared" si="0"/>
        <v>0.37699663966120417</v>
      </c>
      <c r="H14" s="79">
        <f t="shared" si="1"/>
        <v>7.3248174062480818</v>
      </c>
      <c r="I14" s="79">
        <f t="shared" si="2"/>
        <v>19.429397070569863</v>
      </c>
      <c r="J14" s="82">
        <v>1</v>
      </c>
      <c r="K14" s="79">
        <f t="shared" si="3"/>
        <v>7.3248174062480818</v>
      </c>
      <c r="L14" s="79">
        <f t="shared" si="4"/>
        <v>19.429397070569863</v>
      </c>
    </row>
    <row r="15" spans="2:12" ht="15" thickBot="1" x14ac:dyDescent="0.4">
      <c r="B15" s="132" t="s">
        <v>181</v>
      </c>
      <c r="C15" s="132"/>
      <c r="D15" s="83"/>
      <c r="E15" s="83"/>
      <c r="F15" s="83"/>
      <c r="G15" s="83"/>
      <c r="H15" s="83"/>
      <c r="I15" s="83"/>
      <c r="J15" s="84"/>
      <c r="K15" s="85">
        <f>AVERAGE(K6:K14)</f>
        <v>6.4273588001409694</v>
      </c>
      <c r="L15" s="85">
        <f>AVERAGE(L6:L14)</f>
        <v>19.454742291893876</v>
      </c>
    </row>
    <row r="16" spans="2:12" ht="15" thickBot="1" x14ac:dyDescent="0.4">
      <c r="B16" s="133" t="s">
        <v>182</v>
      </c>
      <c r="C16" s="133"/>
      <c r="D16" s="86"/>
      <c r="E16" s="86"/>
      <c r="F16" s="86"/>
      <c r="G16" s="86"/>
      <c r="H16" s="86"/>
      <c r="I16" s="86"/>
      <c r="J16" s="86"/>
      <c r="K16" s="87">
        <f>MEDIAN(K6:K14)</f>
        <v>6.1068461948133255</v>
      </c>
      <c r="L16" s="87">
        <f>MEDIAN(L6:L14)</f>
        <v>19.487466278033001</v>
      </c>
    </row>
    <row r="17" spans="2:12" ht="15" thickTop="1" x14ac:dyDescent="0.35">
      <c r="B17" s="66" t="s">
        <v>183</v>
      </c>
    </row>
    <row r="18" spans="2:12" x14ac:dyDescent="0.35">
      <c r="B18" s="66"/>
      <c r="E18" s="70" t="s">
        <v>171</v>
      </c>
    </row>
    <row r="19" spans="2:12" x14ac:dyDescent="0.35">
      <c r="C19" s="72" t="s">
        <v>184</v>
      </c>
      <c r="D19" s="73" t="s">
        <v>185</v>
      </c>
      <c r="E19" s="73" t="s">
        <v>186</v>
      </c>
    </row>
    <row r="20" spans="2:12" x14ac:dyDescent="0.35">
      <c r="C20" s="65" t="s">
        <v>187</v>
      </c>
      <c r="D20" s="88">
        <f>E4</f>
        <v>824.71900000000005</v>
      </c>
      <c r="E20" s="88">
        <f>F4</f>
        <v>343.75299999999999</v>
      </c>
    </row>
    <row r="21" spans="2:12" x14ac:dyDescent="0.35">
      <c r="C21" s="65" t="s">
        <v>188</v>
      </c>
      <c r="D21" s="88">
        <f>D20*K16</f>
        <v>5036.4320869402509</v>
      </c>
      <c r="E21" s="88">
        <f>E20*L16</f>
        <v>6698.8749954726782</v>
      </c>
    </row>
    <row r="22" spans="2:12" x14ac:dyDescent="0.35">
      <c r="C22" s="65" t="s">
        <v>189</v>
      </c>
      <c r="D22" s="88">
        <f>57337/10^3</f>
        <v>57.337000000000003</v>
      </c>
      <c r="E22" s="88">
        <f>57337/10^3</f>
        <v>57.337000000000003</v>
      </c>
    </row>
    <row r="23" spans="2:12" x14ac:dyDescent="0.35">
      <c r="C23" s="65" t="s">
        <v>190</v>
      </c>
      <c r="D23" s="88">
        <f>-2275467/10^3</f>
        <v>-2275.4670000000001</v>
      </c>
      <c r="E23" s="88">
        <f>-2275467/10^3</f>
        <v>-2275.4670000000001</v>
      </c>
    </row>
    <row r="24" spans="2:12" ht="15" thickBot="1" x14ac:dyDescent="0.4">
      <c r="C24" s="89" t="s">
        <v>191</v>
      </c>
      <c r="D24" s="90">
        <f>SUM(D21:D23)</f>
        <v>2818.3020869402512</v>
      </c>
      <c r="E24" s="90">
        <f>SUM(E21:E23)</f>
        <v>4480.7449954726781</v>
      </c>
    </row>
    <row r="25" spans="2:12" ht="15" thickTop="1" x14ac:dyDescent="0.35">
      <c r="C25" s="65" t="s">
        <v>192</v>
      </c>
      <c r="D25" s="91">
        <f>OPM!$B$10</f>
        <v>121659634</v>
      </c>
      <c r="E25" s="91">
        <f>OPM!$B$10</f>
        <v>121659634</v>
      </c>
    </row>
    <row r="26" spans="2:12" x14ac:dyDescent="0.35">
      <c r="C26" s="65" t="s">
        <v>193</v>
      </c>
      <c r="D26" s="92">
        <f>D24*10^6/D25</f>
        <v>23.165465769363166</v>
      </c>
      <c r="E26" s="92">
        <f>E24*10^6/E25</f>
        <v>36.830169943406851</v>
      </c>
    </row>
    <row r="28" spans="2:12" ht="15" thickBot="1" x14ac:dyDescent="0.4"/>
    <row r="29" spans="2:12" x14ac:dyDescent="0.35">
      <c r="B29" s="110" t="s">
        <v>197</v>
      </c>
      <c r="C29" s="134" t="s">
        <v>201</v>
      </c>
      <c r="D29" s="134"/>
      <c r="E29" s="134"/>
      <c r="F29" s="134"/>
      <c r="G29" s="134"/>
      <c r="H29" s="134"/>
      <c r="I29" s="134"/>
      <c r="J29" s="134"/>
      <c r="K29" s="134"/>
      <c r="L29" s="135"/>
    </row>
    <row r="30" spans="2:12" ht="15" thickBot="1" x14ac:dyDescent="0.4">
      <c r="B30" s="111"/>
      <c r="C30" s="136"/>
      <c r="D30" s="136"/>
      <c r="E30" s="136"/>
      <c r="F30" s="136"/>
      <c r="G30" s="136"/>
      <c r="H30" s="136"/>
      <c r="I30" s="136"/>
      <c r="J30" s="136"/>
      <c r="K30" s="136"/>
      <c r="L30" s="137"/>
    </row>
  </sheetData>
  <mergeCells count="4">
    <mergeCell ref="B2:C2"/>
    <mergeCell ref="B15:C15"/>
    <mergeCell ref="B16:C16"/>
    <mergeCell ref="C29:L3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2C450-E534-4456-ACB6-2B9752DEB8CF}">
  <dimension ref="B2:D14"/>
  <sheetViews>
    <sheetView showGridLines="0" workbookViewId="0">
      <selection activeCell="D9" sqref="D9"/>
    </sheetView>
  </sheetViews>
  <sheetFormatPr defaultRowHeight="14.4" x14ac:dyDescent="0.3"/>
  <cols>
    <col min="1" max="1" width="8.88671875" style="93"/>
    <col min="2" max="2" width="12.33203125" style="93" bestFit="1" customWidth="1"/>
    <col min="3" max="3" width="79.5546875" style="93" customWidth="1"/>
    <col min="4" max="4" width="80.109375" style="93" customWidth="1"/>
    <col min="5" max="16384" width="8.88671875" style="93"/>
  </cols>
  <sheetData>
    <row r="2" spans="2:4" x14ac:dyDescent="0.3">
      <c r="B2" s="138" t="s">
        <v>160</v>
      </c>
      <c r="C2" s="138"/>
    </row>
    <row r="3" spans="2:4" ht="15" thickBot="1" x14ac:dyDescent="0.35">
      <c r="B3" s="94"/>
      <c r="C3" s="94"/>
    </row>
    <row r="4" spans="2:4" ht="15" thickBot="1" x14ac:dyDescent="0.35">
      <c r="B4" s="95" t="s">
        <v>136</v>
      </c>
      <c r="C4" s="96" t="s">
        <v>123</v>
      </c>
      <c r="D4" s="97" t="s">
        <v>137</v>
      </c>
    </row>
    <row r="5" spans="2:4" ht="57.6" x14ac:dyDescent="0.3">
      <c r="B5" s="98" t="s">
        <v>114</v>
      </c>
      <c r="C5" s="99" t="s">
        <v>138</v>
      </c>
      <c r="D5" s="100" t="s">
        <v>139</v>
      </c>
    </row>
    <row r="6" spans="2:4" ht="57.6" x14ac:dyDescent="0.3">
      <c r="B6" s="101" t="s">
        <v>140</v>
      </c>
      <c r="C6" s="102" t="s">
        <v>141</v>
      </c>
      <c r="D6" s="103" t="s">
        <v>142</v>
      </c>
    </row>
    <row r="7" spans="2:4" ht="57.6" x14ac:dyDescent="0.3">
      <c r="B7" s="101" t="s">
        <v>143</v>
      </c>
      <c r="C7" s="102" t="s">
        <v>144</v>
      </c>
      <c r="D7" s="103" t="s">
        <v>145</v>
      </c>
    </row>
    <row r="8" spans="2:4" ht="57.6" x14ac:dyDescent="0.3">
      <c r="B8" s="101" t="s">
        <v>146</v>
      </c>
      <c r="C8" s="102" t="s">
        <v>147</v>
      </c>
      <c r="D8" s="103" t="s">
        <v>148</v>
      </c>
    </row>
    <row r="9" spans="2:4" ht="57.6" x14ac:dyDescent="0.3">
      <c r="B9" s="101" t="s">
        <v>115</v>
      </c>
      <c r="C9" s="102" t="s">
        <v>149</v>
      </c>
      <c r="D9" s="103" t="s">
        <v>150</v>
      </c>
    </row>
    <row r="10" spans="2:4" ht="57.6" x14ac:dyDescent="0.3">
      <c r="B10" s="101" t="s">
        <v>116</v>
      </c>
      <c r="C10" s="102" t="s">
        <v>151</v>
      </c>
      <c r="D10" s="103" t="s">
        <v>152</v>
      </c>
    </row>
    <row r="11" spans="2:4" ht="57.6" x14ac:dyDescent="0.3">
      <c r="B11" s="101" t="s">
        <v>117</v>
      </c>
      <c r="C11" s="102" t="s">
        <v>153</v>
      </c>
      <c r="D11" s="103" t="s">
        <v>154</v>
      </c>
    </row>
    <row r="12" spans="2:4" ht="57.6" x14ac:dyDescent="0.3">
      <c r="B12" s="101" t="s">
        <v>155</v>
      </c>
      <c r="C12" s="102" t="s">
        <v>156</v>
      </c>
      <c r="D12" s="103" t="s">
        <v>157</v>
      </c>
    </row>
    <row r="13" spans="2:4" ht="57.6" x14ac:dyDescent="0.3">
      <c r="B13" s="104" t="s">
        <v>118</v>
      </c>
      <c r="C13" s="105" t="s">
        <v>158</v>
      </c>
      <c r="D13" s="106" t="s">
        <v>159</v>
      </c>
    </row>
    <row r="14" spans="2:4" x14ac:dyDescent="0.3">
      <c r="B14" s="107"/>
    </row>
  </sheetData>
  <mergeCells count="1">
    <mergeCell ref="B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1FE2E-2C51-43F6-AFCB-E1E4FDA97923}">
  <dimension ref="A1"/>
  <sheetViews>
    <sheetView showGridLines="0" topLeftCell="A92" workbookViewId="0">
      <selection activeCell="B107" sqref="B107:B123"/>
    </sheetView>
  </sheetViews>
  <sheetFormatPr defaultRowHeight="14.4" x14ac:dyDescent="0.3"/>
  <cols>
    <col min="2" max="2" width="12.33203125" bestFit="1" customWidth="1"/>
    <col min="3" max="3" width="79.5546875" customWidth="1"/>
    <col min="4" max="4" width="80.109375" customWidth="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OPM</vt:lpstr>
      <vt:lpstr>Peer Volatility</vt:lpstr>
      <vt:lpstr>Market Approach</vt:lpstr>
      <vt:lpstr>Comps Set</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Prachi Sanjay Gosalia</cp:lastModifiedBy>
  <cp:revision>0</cp:revision>
  <dcterms:created xsi:type="dcterms:W3CDTF">2026-06-15T04:18:09Z</dcterms:created>
  <dcterms:modified xsi:type="dcterms:W3CDTF">2026-06-22T23:59:21Z</dcterms:modified>
  <dc:language>en-US</dc:language>
</cp:coreProperties>
</file>